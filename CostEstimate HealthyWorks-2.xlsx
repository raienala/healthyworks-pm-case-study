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ch\Downloads\"/>
    </mc:Choice>
  </mc:AlternateContent>
  <xr:revisionPtr revIDLastSave="0" documentId="13_ncr:1_{3C9E1FBA-27AC-45D3-96CA-A85DC09B5E23}" xr6:coauthVersionLast="47" xr6:coauthVersionMax="47" xr10:uidLastSave="{00000000-0000-0000-0000-000000000000}"/>
  <bookViews>
    <workbookView xWindow="28680" yWindow="-120" windowWidth="29040" windowHeight="15840" xr2:uid="{1524BA7E-84AE-4032-93D3-DD14512B95A8}"/>
  </bookViews>
  <sheets>
    <sheet name="CostEstimate_Templat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5" i="4" l="1"/>
  <c r="C93" i="4"/>
  <c r="C60" i="4"/>
  <c r="G62" i="4"/>
  <c r="C20" i="4"/>
  <c r="C35" i="4"/>
  <c r="C128" i="4"/>
  <c r="E151" i="4"/>
  <c r="E143" i="4"/>
  <c r="E138" i="4"/>
  <c r="E120" i="4"/>
  <c r="E116" i="4"/>
  <c r="E106" i="4"/>
  <c r="E102" i="4"/>
  <c r="E92" i="4"/>
  <c r="F92" i="4" s="1"/>
  <c r="E83" i="4"/>
  <c r="E75" i="4"/>
  <c r="E152" i="4"/>
  <c r="E153" i="4"/>
  <c r="E112" i="4"/>
  <c r="E111" i="4"/>
  <c r="E113" i="4"/>
  <c r="E98" i="4"/>
  <c r="E99" i="4"/>
  <c r="E85" i="4"/>
  <c r="E68" i="4"/>
  <c r="E58" i="4"/>
  <c r="E40" i="4"/>
  <c r="E41" i="4"/>
  <c r="E43" i="4"/>
  <c r="E161" i="4"/>
  <c r="E5" i="4"/>
  <c r="F5" i="4" s="1"/>
  <c r="E7" i="4"/>
  <c r="E8" i="4"/>
  <c r="E10" i="4"/>
  <c r="E11" i="4"/>
  <c r="E13" i="4"/>
  <c r="F13" i="4" s="1"/>
  <c r="E15" i="4"/>
  <c r="E16" i="4"/>
  <c r="E18" i="4"/>
  <c r="E19" i="4"/>
  <c r="E24" i="4"/>
  <c r="F24" i="4" s="1"/>
  <c r="E26" i="4"/>
  <c r="E27" i="4"/>
  <c r="E30" i="4"/>
  <c r="E31" i="4"/>
  <c r="E34" i="4"/>
  <c r="F34" i="4" s="1"/>
  <c r="E39" i="4"/>
  <c r="E44" i="4"/>
  <c r="E47" i="4"/>
  <c r="E48" i="4"/>
  <c r="E52" i="4"/>
  <c r="E53" i="4"/>
  <c r="E54" i="4"/>
  <c r="E57" i="4"/>
  <c r="E59" i="4"/>
  <c r="E65" i="4"/>
  <c r="F65" i="4" s="1"/>
  <c r="E69" i="4"/>
  <c r="E72" i="4"/>
  <c r="E73" i="4"/>
  <c r="E76" i="4"/>
  <c r="E77" i="4"/>
  <c r="E80" i="4"/>
  <c r="F80" i="4" s="1"/>
  <c r="E84" i="4"/>
  <c r="E86" i="4"/>
  <c r="E88" i="4"/>
  <c r="E89" i="4"/>
  <c r="E97" i="4"/>
  <c r="E100" i="4"/>
  <c r="E103" i="4"/>
  <c r="E107" i="4"/>
  <c r="E110" i="4"/>
  <c r="E114" i="4"/>
  <c r="E117" i="4"/>
  <c r="E118" i="4"/>
  <c r="E121" i="4"/>
  <c r="E122" i="4"/>
  <c r="E125" i="4"/>
  <c r="E126" i="4"/>
  <c r="E131" i="4"/>
  <c r="E132" i="4"/>
  <c r="E135" i="4"/>
  <c r="E136" i="4"/>
  <c r="E139" i="4"/>
  <c r="E140" i="4"/>
  <c r="E141" i="4"/>
  <c r="E144" i="4"/>
  <c r="E145" i="4"/>
  <c r="E148" i="4"/>
  <c r="E149" i="4"/>
  <c r="E154" i="4"/>
  <c r="E155" i="4"/>
  <c r="E157" i="4"/>
  <c r="E158" i="4"/>
  <c r="E159" i="4"/>
  <c r="E160" i="4"/>
  <c r="E164" i="4"/>
  <c r="E165" i="4"/>
  <c r="E168" i="4"/>
  <c r="E169" i="4"/>
  <c r="E171" i="4"/>
  <c r="E172" i="4"/>
  <c r="E173" i="4"/>
  <c r="E175" i="4"/>
  <c r="E176" i="4"/>
  <c r="E178" i="4"/>
  <c r="E179" i="4"/>
  <c r="E181" i="4"/>
  <c r="E182" i="4"/>
  <c r="E184" i="4"/>
  <c r="F184" i="4" s="1"/>
  <c r="E3" i="4"/>
  <c r="F3" i="4" s="1"/>
  <c r="H188" i="4"/>
  <c r="F105" i="4" l="1"/>
  <c r="F109" i="4"/>
  <c r="F137" i="4"/>
  <c r="F177" i="4"/>
  <c r="F127" i="4"/>
  <c r="F115" i="4"/>
  <c r="F142" i="4"/>
  <c r="F150" i="4"/>
  <c r="F183" i="4"/>
  <c r="F166" i="4"/>
  <c r="F174" i="4"/>
  <c r="F133" i="4"/>
  <c r="F146" i="4"/>
  <c r="F156" i="4"/>
  <c r="F170" i="4"/>
  <c r="F162" i="4"/>
  <c r="F119" i="4"/>
  <c r="F123" i="4"/>
  <c r="F180" i="4"/>
  <c r="F101" i="4"/>
  <c r="F42" i="4"/>
  <c r="F90" i="4"/>
  <c r="F70" i="4"/>
  <c r="F87" i="4"/>
  <c r="F78" i="4"/>
  <c r="F55" i="4"/>
  <c r="F50" i="4"/>
  <c r="F28" i="4"/>
  <c r="G36" i="4" s="1"/>
  <c r="F74" i="4"/>
  <c r="F61" i="4"/>
  <c r="F17" i="4"/>
  <c r="F12" i="4"/>
  <c r="F45" i="4"/>
  <c r="F32" i="4"/>
  <c r="F21" i="4"/>
  <c r="F9" i="4"/>
  <c r="G22" i="4" s="1"/>
  <c r="H22" i="4" s="1"/>
  <c r="G187" i="4" l="1"/>
  <c r="G129" i="4"/>
  <c r="G95" i="4"/>
  <c r="H62" i="4"/>
  <c r="H36" i="4"/>
  <c r="H187" i="4"/>
  <c r="H129" i="4"/>
  <c r="G189" i="4" l="1"/>
  <c r="H95" i="4"/>
</calcChain>
</file>

<file path=xl/sharedStrings.xml><?xml version="1.0" encoding="utf-8"?>
<sst xmlns="http://schemas.openxmlformats.org/spreadsheetml/2006/main" count="222" uniqueCount="90">
  <si>
    <t>Activity</t>
  </si>
  <si>
    <t>Resource</t>
  </si>
  <si>
    <t>Hourly Rate</t>
  </si>
  <si>
    <t>Cost per Role</t>
  </si>
  <si>
    <t xml:space="preserve">Cost per Activity </t>
  </si>
  <si>
    <t>Cost per Phase</t>
  </si>
  <si>
    <t>% of Total Cost per Phase</t>
  </si>
  <si>
    <t>Project Manager</t>
  </si>
  <si>
    <t>Effort Estimate per Role (hours)</t>
  </si>
  <si>
    <t>Phase Subtotal</t>
  </si>
  <si>
    <r>
      <rPr>
        <b/>
        <sz val="11"/>
        <color theme="1"/>
        <rFont val="Calibri"/>
        <family val="2"/>
      </rPr>
      <t>Project Contingencies</t>
    </r>
    <r>
      <rPr>
        <sz val="11"/>
        <color theme="1"/>
        <rFont val="Calibri"/>
        <family val="2"/>
      </rPr>
      <t xml:space="preserve"> </t>
    </r>
  </si>
  <si>
    <t>Budget</t>
  </si>
  <si>
    <t>Total Cost Estimate</t>
  </si>
  <si>
    <t xml:space="preserve">Business Analyst </t>
  </si>
  <si>
    <t>1. Project Management</t>
  </si>
  <si>
    <t>2. Requirementts Defination</t>
  </si>
  <si>
    <t>3. Website Design</t>
  </si>
  <si>
    <t xml:space="preserve">5. Testing </t>
  </si>
  <si>
    <t xml:space="preserve">6. Training, rollout, and support </t>
  </si>
  <si>
    <t>3.1 Registration for recreational programs</t>
  </si>
  <si>
    <t>3.2 Registration for classes and programs</t>
  </si>
  <si>
    <t>3.3 Tracking system</t>
  </si>
  <si>
    <t>3.4 Performance Motivation Engine</t>
  </si>
  <si>
    <t>4.1 Registration for recreational programs</t>
  </si>
  <si>
    <t>4.2 Registration for classes and programs</t>
  </si>
  <si>
    <t>4.3 Tracking system</t>
  </si>
  <si>
    <t>4.4 Performance Motivation Engine</t>
  </si>
  <si>
    <t>Developing a project charter</t>
  </si>
  <si>
    <t>Developing a project management plan</t>
  </si>
  <si>
    <t>Scheduling analysis and design meetings</t>
  </si>
  <si>
    <t>Identifying stakeholders and defining their roles/responsibilities</t>
  </si>
  <si>
    <t>Establishing governance structures</t>
  </si>
  <si>
    <t>Setting up communication channels and protocols</t>
  </si>
  <si>
    <t>Secure budget and approvals</t>
  </si>
  <si>
    <t>Conducting as-is analysis</t>
  </si>
  <si>
    <t>Define requirements (business, stakeholder, functional, non-functional, transition)</t>
  </si>
  <si>
    <t>Develop Program Catalog Module Design</t>
  </si>
  <si>
    <t>Design PET AI Assistant Features (algorithms, APIs/events)</t>
  </si>
  <si>
    <t>Develop Incentive Engine Design (policy, data/ledger, algorithms)</t>
  </si>
  <si>
    <t>Configure Program Catalog</t>
  </si>
  <si>
    <t xml:space="preserve"> Build Registration &amp; Attendance Module (class variation)</t>
  </si>
  <si>
    <t>Build Health Management Modules (APIs, engine, integration)</t>
  </si>
  <si>
    <t>Develop PET AI Coaching System</t>
  </si>
  <si>
    <t>Develop Analytics &amp; Reporting Layer</t>
  </si>
  <si>
    <t>Develop Incentive Engine</t>
  </si>
  <si>
    <t>Develop test plans and scripts</t>
  </si>
  <si>
    <t>Conduct system testing</t>
  </si>
  <si>
    <t>Conduct integration testing</t>
  </si>
  <si>
    <t>User acceptance testing</t>
  </si>
  <si>
    <t>Defect resolution &amp; re-testing</t>
  </si>
  <si>
    <t>Training materials (transition docs, workshop prep)</t>
  </si>
  <si>
    <t>Finalize testing phase</t>
  </si>
  <si>
    <t>Data conversion</t>
  </si>
  <si>
    <t>Deploy to production</t>
  </si>
  <si>
    <t>End-user training</t>
  </si>
  <si>
    <t>Execute deployment</t>
  </si>
  <si>
    <t>Monitor stability</t>
  </si>
  <si>
    <t>Go/No-Go meeting</t>
  </si>
  <si>
    <t xml:space="preserve"> Go Live </t>
  </si>
  <si>
    <t>Transition to support team</t>
  </si>
  <si>
    <t>Lessons learned workshop</t>
  </si>
  <si>
    <t>Close vendor contracts</t>
  </si>
  <si>
    <t>Document final deliverables</t>
  </si>
  <si>
    <t>Release project resources</t>
  </si>
  <si>
    <t>Final closure</t>
  </si>
  <si>
    <t>Human Resources</t>
  </si>
  <si>
    <t>Finance</t>
  </si>
  <si>
    <t>Programmer-1</t>
  </si>
  <si>
    <t>Programmer-2</t>
  </si>
  <si>
    <t>Hardware Specialist</t>
  </si>
  <si>
    <t xml:space="preserve">Hypercare </t>
  </si>
  <si>
    <t>Activity SubTotal</t>
  </si>
  <si>
    <t>Create System Architecture &amp; Wireframes</t>
  </si>
  <si>
    <t>Integration Planning</t>
  </si>
  <si>
    <t>4. Website Build and Developemnt</t>
  </si>
  <si>
    <t>First Demo</t>
  </si>
  <si>
    <t>Integration</t>
  </si>
  <si>
    <t>End Users - 1</t>
  </si>
  <si>
    <t>End Users - 2</t>
  </si>
  <si>
    <t>End Users-1</t>
  </si>
  <si>
    <t>End Users-2</t>
  </si>
  <si>
    <t>End Users-3</t>
  </si>
  <si>
    <t>End Users-4</t>
  </si>
  <si>
    <t>End Users-5</t>
  </si>
  <si>
    <t>End Users - 3</t>
  </si>
  <si>
    <t>End User - 4</t>
  </si>
  <si>
    <t>End User - 1</t>
  </si>
  <si>
    <t>Phase Total Hours</t>
  </si>
  <si>
    <t>Establishing a change management process</t>
  </si>
  <si>
    <t>Risk analysis &amp; mitigation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</si>
</sst>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7" fillId="0" borderId="0"/>
  </cellStyleXfs>
  <cellXfs count="5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indent="3"/>
    </xf>
    <xf numFmtId="16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right" indent="3"/>
    </xf>
    <xf numFmtId="0" fontId="1" fillId="2" borderId="0" xfId="0" applyFont="1" applyFill="1"/>
    <xf numFmtId="164" fontId="3" fillId="2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9" fontId="1" fillId="2" borderId="0" xfId="1" applyFont="1" applyFill="1" applyAlignment="1">
      <alignment horizontal="center"/>
    </xf>
    <xf numFmtId="0" fontId="3" fillId="4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right"/>
    </xf>
    <xf numFmtId="0" fontId="3" fillId="5" borderId="0" xfId="0" applyFont="1" applyFill="1" applyAlignment="1">
      <alignment horizontal="right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164" fontId="1" fillId="5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9" fontId="1" fillId="4" borderId="0" xfId="1" applyFont="1" applyFill="1" applyAlignment="1">
      <alignment horizontal="center"/>
    </xf>
    <xf numFmtId="164" fontId="3" fillId="5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6" borderId="0" xfId="0" applyFont="1" applyFill="1"/>
    <xf numFmtId="0" fontId="1" fillId="6" borderId="0" xfId="0" applyFont="1" applyFill="1"/>
    <xf numFmtId="0" fontId="1" fillId="6" borderId="0" xfId="0" applyFont="1" applyFill="1" applyAlignment="1">
      <alignment horizontal="center"/>
    </xf>
    <xf numFmtId="164" fontId="1" fillId="6" borderId="0" xfId="0" applyNumberFormat="1" applyFont="1" applyFill="1" applyAlignment="1">
      <alignment horizontal="center"/>
    </xf>
    <xf numFmtId="0" fontId="5" fillId="0" borderId="0" xfId="0" applyFont="1"/>
    <xf numFmtId="164" fontId="1" fillId="7" borderId="0" xfId="0" applyNumberFormat="1" applyFont="1" applyFill="1" applyAlignment="1">
      <alignment horizontal="center"/>
    </xf>
    <xf numFmtId="0" fontId="1" fillId="7" borderId="0" xfId="0" applyFont="1" applyFill="1"/>
    <xf numFmtId="0" fontId="1" fillId="7" borderId="0" xfId="0" applyFont="1" applyFill="1" applyAlignment="1">
      <alignment horizontal="center"/>
    </xf>
    <xf numFmtId="0" fontId="3" fillId="7" borderId="0" xfId="0" applyFont="1" applyFill="1" applyAlignment="1">
      <alignment horizontal="right"/>
    </xf>
    <xf numFmtId="4" fontId="1" fillId="0" borderId="0" xfId="0" applyNumberFormat="1" applyFont="1" applyAlignment="1">
      <alignment horizontal="center"/>
    </xf>
    <xf numFmtId="4" fontId="1" fillId="7" borderId="0" xfId="0" applyNumberFormat="1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4" fontId="1" fillId="4" borderId="0" xfId="0" applyNumberFormat="1" applyFont="1" applyFill="1" applyAlignment="1">
      <alignment horizontal="center"/>
    </xf>
    <xf numFmtId="4" fontId="1" fillId="6" borderId="0" xfId="0" applyNumberFormat="1" applyFont="1" applyFill="1" applyAlignment="1">
      <alignment horizontal="center"/>
    </xf>
    <xf numFmtId="0" fontId="1" fillId="8" borderId="0" xfId="0" applyFont="1" applyFill="1"/>
    <xf numFmtId="0" fontId="1" fillId="8" borderId="0" xfId="0" applyFont="1" applyFill="1" applyAlignment="1">
      <alignment horizontal="center"/>
    </xf>
    <xf numFmtId="164" fontId="1" fillId="8" borderId="0" xfId="0" applyNumberFormat="1" applyFont="1" applyFill="1" applyAlignment="1">
      <alignment horizontal="center"/>
    </xf>
    <xf numFmtId="0" fontId="1" fillId="8" borderId="0" xfId="0" applyFont="1" applyFill="1" applyAlignment="1"/>
    <xf numFmtId="4" fontId="1" fillId="8" borderId="0" xfId="0" applyNumberFormat="1" applyFont="1" applyFill="1" applyAlignment="1">
      <alignment horizontal="center"/>
    </xf>
    <xf numFmtId="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/>
    <xf numFmtId="6" fontId="1" fillId="0" borderId="0" xfId="0" applyNumberFormat="1" applyFont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8" fillId="0" borderId="0" xfId="2" applyFont="1"/>
    <xf numFmtId="0" fontId="5" fillId="0" borderId="0" xfId="2" applyFont="1" applyAlignment="1">
      <alignment vertical="top"/>
    </xf>
    <xf numFmtId="0" fontId="1" fillId="8" borderId="0" xfId="0" applyFont="1" applyFill="1" applyAlignment="1">
      <alignment horizontal="left"/>
    </xf>
  </cellXfs>
  <cellStyles count="3">
    <cellStyle name="Normal" xfId="0" builtinId="0"/>
    <cellStyle name="Normal 2" xfId="2" xr:uid="{13617353-5180-4987-BDA7-52C4BAF140B1}"/>
    <cellStyle name="Percent" xfId="1" builtinId="5"/>
  </cellStyles>
  <dxfs count="10"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0587DA-30DD-427D-A8A9-C7369AA339F5}" name="Table1345" displayName="Table1345" ref="A1:H189" totalsRowShown="0" headerRowDxfId="9" dataDxfId="0">
  <autoFilter ref="A1:H189" xr:uid="{84417FF1-0E0F-4AA2-B146-40BC7AD0105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66157F6-6438-4EF0-AA1F-EB6EC851717C}" name="Activity" dataDxfId="8"/>
    <tableColumn id="2" xr3:uid="{8FF2467E-233C-4B29-A64F-BADFE9772D10}" name="Resource" dataDxfId="7"/>
    <tableColumn id="3" xr3:uid="{6DAB1A83-A32A-4BF7-BFA9-8CD5D25D3001}" name="Effort Estimate per Role (hours)" dataDxfId="6"/>
    <tableColumn id="4" xr3:uid="{5D41A067-7420-4B5C-8119-724C18AE59A9}" name="Hourly Rate" dataDxfId="5"/>
    <tableColumn id="5" xr3:uid="{01F6EEB3-4B50-415A-A712-4895EC56686D}" name="Cost per Role" dataDxfId="4">
      <calculatedColumnFormula>Table1345[[#This Row],[Effort Estimate per Role (hours)]]*Table1345[[#This Row],[Hourly Rate]]</calculatedColumnFormula>
    </tableColumn>
    <tableColumn id="6" xr3:uid="{1C8A561F-E650-4136-A0D2-37EDD6E94691}" name="Cost per Activity " dataDxfId="3"/>
    <tableColumn id="7" xr3:uid="{CF758310-23FE-4E80-9790-FBF970DACECC}" name="Cost per Phase" dataDxfId="2"/>
    <tableColumn id="8" xr3:uid="{95400979-30BD-4B34-88E1-F1C1879A7E02}" name="% of Total Cost per Phas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FBB96-8EAF-4DE6-ABB2-BCC049F59AE4}">
  <dimension ref="A1:CV189"/>
  <sheetViews>
    <sheetView tabSelected="1" zoomScaleNormal="100" workbookViewId="0">
      <pane ySplit="1" topLeftCell="A167" activePane="bottomLeft" state="frozen"/>
      <selection pane="bottomLeft" activeCell="K180" sqref="K180"/>
    </sheetView>
  </sheetViews>
  <sheetFormatPr defaultColWidth="8.85546875" defaultRowHeight="15" x14ac:dyDescent="0.25"/>
  <cols>
    <col min="1" max="1" width="66.140625" style="1" customWidth="1"/>
    <col min="2" max="2" width="18.7109375" style="1" customWidth="1"/>
    <col min="3" max="3" width="28.85546875" style="2" customWidth="1"/>
    <col min="4" max="4" width="12.140625" style="2" customWidth="1"/>
    <col min="5" max="5" width="13.42578125" style="2" customWidth="1"/>
    <col min="6" max="6" width="16.28515625" style="2" customWidth="1"/>
    <col min="7" max="7" width="15" style="2" customWidth="1"/>
    <col min="8" max="8" width="23.140625" style="2" customWidth="1"/>
    <col min="9" max="9" width="8.85546875" style="1"/>
    <col min="10" max="10" width="10.85546875" style="1" bestFit="1" customWidth="1"/>
    <col min="11" max="11" width="22.28515625" style="1" customWidth="1"/>
    <col min="12" max="16384" width="8.85546875" style="1"/>
  </cols>
  <sheetData>
    <row r="1" spans="1:11" s="2" customFormat="1" x14ac:dyDescent="0.25">
      <c r="A1" s="10" t="s">
        <v>0</v>
      </c>
      <c r="B1" s="10" t="s">
        <v>1</v>
      </c>
      <c r="C1" s="10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0" t="s">
        <v>6</v>
      </c>
      <c r="J1" s="45">
        <v>200000</v>
      </c>
      <c r="K1" s="46" t="s">
        <v>11</v>
      </c>
    </row>
    <row r="2" spans="1:11" x14ac:dyDescent="0.25">
      <c r="A2" s="13" t="s">
        <v>14</v>
      </c>
      <c r="B2" s="14"/>
      <c r="C2" s="15"/>
      <c r="D2" s="16"/>
      <c r="E2" s="16"/>
      <c r="F2" s="16"/>
      <c r="G2" s="16"/>
      <c r="H2" s="15"/>
      <c r="J2" s="47"/>
    </row>
    <row r="3" spans="1:11" x14ac:dyDescent="0.25">
      <c r="A3" s="30" t="s">
        <v>27</v>
      </c>
      <c r="B3" s="1" t="s">
        <v>7</v>
      </c>
      <c r="C3" s="2">
        <v>24</v>
      </c>
      <c r="D3" s="35">
        <v>100</v>
      </c>
      <c r="E3" s="4">
        <f>Table1345[[#This Row],[Effort Estimate per Role (hours)]]*Table1345[[#This Row],[Hourly Rate]]</f>
        <v>2400</v>
      </c>
      <c r="F3" s="31">
        <f>Table1345[[#This Row],[Cost per Role]]</f>
        <v>2400</v>
      </c>
      <c r="G3" s="4"/>
      <c r="J3" s="48"/>
    </row>
    <row r="4" spans="1:11" x14ac:dyDescent="0.25">
      <c r="D4" s="35"/>
      <c r="E4" s="4"/>
      <c r="F4" s="4"/>
      <c r="G4" s="4"/>
    </row>
    <row r="5" spans="1:11" x14ac:dyDescent="0.25">
      <c r="A5" s="30" t="s">
        <v>28</v>
      </c>
      <c r="B5" s="1" t="s">
        <v>7</v>
      </c>
      <c r="C5" s="2">
        <v>16</v>
      </c>
      <c r="D5" s="35">
        <v>100</v>
      </c>
      <c r="E5" s="4">
        <f>Table1345[[#This Row],[Effort Estimate per Role (hours)]]*Table1345[[#This Row],[Hourly Rate]]</f>
        <v>1600</v>
      </c>
      <c r="F5" s="31">
        <f>Table1345[[#This Row],[Cost per Role]]</f>
        <v>1600</v>
      </c>
      <c r="G5" s="4"/>
    </row>
    <row r="6" spans="1:11" x14ac:dyDescent="0.25">
      <c r="D6" s="35"/>
      <c r="E6" s="4"/>
      <c r="F6" s="4"/>
      <c r="G6" s="4"/>
    </row>
    <row r="7" spans="1:11" x14ac:dyDescent="0.25">
      <c r="A7" s="30" t="s">
        <v>29</v>
      </c>
      <c r="B7" s="1" t="s">
        <v>7</v>
      </c>
      <c r="C7" s="2">
        <v>16</v>
      </c>
      <c r="D7" s="35">
        <v>100</v>
      </c>
      <c r="E7" s="4">
        <f>Table1345[[#This Row],[Effort Estimate per Role (hours)]]*Table1345[[#This Row],[Hourly Rate]]</f>
        <v>1600</v>
      </c>
      <c r="F7" s="4"/>
      <c r="G7" s="4"/>
    </row>
    <row r="8" spans="1:11" x14ac:dyDescent="0.25">
      <c r="B8" s="1" t="s">
        <v>13</v>
      </c>
      <c r="C8" s="2">
        <v>16</v>
      </c>
      <c r="D8" s="35">
        <v>60</v>
      </c>
      <c r="E8" s="4">
        <f>Table1345[[#This Row],[Effort Estimate per Role (hours)]]*Table1345[[#This Row],[Hourly Rate]]</f>
        <v>960</v>
      </c>
      <c r="F8" s="4"/>
      <c r="G8" s="4"/>
    </row>
    <row r="9" spans="1:11" x14ac:dyDescent="0.25">
      <c r="A9" s="34" t="s">
        <v>71</v>
      </c>
      <c r="B9" s="32"/>
      <c r="C9" s="33"/>
      <c r="D9" s="36"/>
      <c r="E9" s="31"/>
      <c r="F9" s="31">
        <f>SUM(E7:E8)</f>
        <v>2560</v>
      </c>
      <c r="G9" s="31"/>
      <c r="H9" s="33"/>
    </row>
    <row r="10" spans="1:11" x14ac:dyDescent="0.25">
      <c r="A10" s="30" t="s">
        <v>30</v>
      </c>
      <c r="B10" s="1" t="s">
        <v>7</v>
      </c>
      <c r="C10" s="2">
        <v>8</v>
      </c>
      <c r="D10" s="35">
        <v>100</v>
      </c>
      <c r="E10" s="4">
        <f>Table1345[[#This Row],[Effort Estimate per Role (hours)]]*Table1345[[#This Row],[Hourly Rate]]</f>
        <v>800</v>
      </c>
      <c r="F10" s="4"/>
      <c r="G10" s="4"/>
    </row>
    <row r="11" spans="1:11" x14ac:dyDescent="0.25">
      <c r="B11" s="1" t="s">
        <v>65</v>
      </c>
      <c r="C11" s="2">
        <v>12</v>
      </c>
      <c r="D11" s="35">
        <v>60</v>
      </c>
      <c r="E11" s="4">
        <f>Table1345[[#This Row],[Effort Estimate per Role (hours)]]*Table1345[[#This Row],[Hourly Rate]]</f>
        <v>720</v>
      </c>
      <c r="F11" s="4"/>
      <c r="G11" s="4"/>
    </row>
    <row r="12" spans="1:11" x14ac:dyDescent="0.25">
      <c r="A12" s="34" t="s">
        <v>71</v>
      </c>
      <c r="B12" s="32"/>
      <c r="C12" s="33"/>
      <c r="D12" s="36"/>
      <c r="E12" s="31"/>
      <c r="F12" s="31">
        <f>SUM(E10:E11)</f>
        <v>1520</v>
      </c>
      <c r="G12" s="31"/>
      <c r="H12" s="33"/>
    </row>
    <row r="13" spans="1:11" x14ac:dyDescent="0.25">
      <c r="A13" s="30" t="s">
        <v>31</v>
      </c>
      <c r="B13" s="1" t="s">
        <v>7</v>
      </c>
      <c r="C13" s="2">
        <v>12</v>
      </c>
      <c r="D13" s="35">
        <v>100</v>
      </c>
      <c r="E13" s="4">
        <f>Table1345[[#This Row],[Effort Estimate per Role (hours)]]*Table1345[[#This Row],[Hourly Rate]]</f>
        <v>1200</v>
      </c>
      <c r="F13" s="31">
        <f>Table1345[[#This Row],[Cost per Role]]</f>
        <v>1200</v>
      </c>
      <c r="G13" s="4"/>
    </row>
    <row r="14" spans="1:11" x14ac:dyDescent="0.25">
      <c r="A14" s="49"/>
      <c r="D14" s="35"/>
      <c r="E14" s="4"/>
      <c r="F14" s="4"/>
      <c r="G14" s="4"/>
    </row>
    <row r="15" spans="1:11" x14ac:dyDescent="0.25">
      <c r="A15" s="30" t="s">
        <v>32</v>
      </c>
      <c r="B15" s="1" t="s">
        <v>7</v>
      </c>
      <c r="C15" s="2">
        <v>12</v>
      </c>
      <c r="D15" s="35">
        <v>100</v>
      </c>
      <c r="E15" s="4">
        <f>Table1345[[#This Row],[Effort Estimate per Role (hours)]]*Table1345[[#This Row],[Hourly Rate]]</f>
        <v>1200</v>
      </c>
      <c r="F15" s="4"/>
      <c r="G15" s="4"/>
    </row>
    <row r="16" spans="1:11" x14ac:dyDescent="0.25">
      <c r="B16" s="1" t="s">
        <v>65</v>
      </c>
      <c r="C16" s="2">
        <v>12</v>
      </c>
      <c r="D16" s="35">
        <v>60</v>
      </c>
      <c r="E16" s="4">
        <f>Table1345[[#This Row],[Effort Estimate per Role (hours)]]*Table1345[[#This Row],[Hourly Rate]]</f>
        <v>720</v>
      </c>
      <c r="F16" s="4"/>
      <c r="G16" s="4"/>
    </row>
    <row r="17" spans="1:8" x14ac:dyDescent="0.25">
      <c r="A17" s="34" t="s">
        <v>71</v>
      </c>
      <c r="B17" s="32"/>
      <c r="C17" s="33"/>
      <c r="D17" s="36"/>
      <c r="E17" s="31"/>
      <c r="F17" s="31">
        <f>SUM(E15:E16)</f>
        <v>1920</v>
      </c>
      <c r="G17" s="31"/>
      <c r="H17" s="33"/>
    </row>
    <row r="18" spans="1:8" x14ac:dyDescent="0.25">
      <c r="A18" s="30" t="s">
        <v>33</v>
      </c>
      <c r="B18" s="1" t="s">
        <v>7</v>
      </c>
      <c r="C18" s="2">
        <v>4</v>
      </c>
      <c r="D18" s="35">
        <v>100</v>
      </c>
      <c r="E18" s="4">
        <f>Table1345[[#This Row],[Effort Estimate per Role (hours)]]*Table1345[[#This Row],[Hourly Rate]]</f>
        <v>400</v>
      </c>
      <c r="F18" s="4"/>
      <c r="G18" s="4"/>
    </row>
    <row r="19" spans="1:8" x14ac:dyDescent="0.25">
      <c r="B19" s="1" t="s">
        <v>66</v>
      </c>
      <c r="C19" s="2">
        <v>4</v>
      </c>
      <c r="D19" s="35">
        <v>60</v>
      </c>
      <c r="E19" s="4">
        <f>Table1345[[#This Row],[Effort Estimate per Role (hours)]]*Table1345[[#This Row],[Hourly Rate]]</f>
        <v>240</v>
      </c>
      <c r="F19" s="4"/>
      <c r="G19" s="4"/>
    </row>
    <row r="20" spans="1:8" x14ac:dyDescent="0.25">
      <c r="A20" s="40" t="s">
        <v>87</v>
      </c>
      <c r="B20" s="40"/>
      <c r="C20" s="41">
        <f>SUM(C3:C19)</f>
        <v>136</v>
      </c>
      <c r="D20" s="42"/>
      <c r="E20" s="42"/>
      <c r="F20" s="42"/>
      <c r="G20" s="42"/>
      <c r="H20" s="41"/>
    </row>
    <row r="21" spans="1:8" x14ac:dyDescent="0.25">
      <c r="A21" s="34" t="s">
        <v>71</v>
      </c>
      <c r="B21" s="32"/>
      <c r="C21" s="33"/>
      <c r="D21" s="36"/>
      <c r="E21" s="31"/>
      <c r="F21" s="31">
        <f>SUM(E18:E19)</f>
        <v>640</v>
      </c>
      <c r="G21" s="31"/>
      <c r="H21" s="33"/>
    </row>
    <row r="22" spans="1:8" x14ac:dyDescent="0.25">
      <c r="A22" s="7" t="s">
        <v>9</v>
      </c>
      <c r="B22" s="8"/>
      <c r="C22" s="5"/>
      <c r="D22" s="37"/>
      <c r="E22" s="6"/>
      <c r="F22" s="6"/>
      <c r="G22" s="9">
        <f>SUM(F3:F21)</f>
        <v>11840</v>
      </c>
      <c r="H22" s="12">
        <f>Table1345[[#This Row],[Cost per Phase]]/J1</f>
        <v>5.9200000000000003E-2</v>
      </c>
    </row>
    <row r="23" spans="1:8" x14ac:dyDescent="0.25">
      <c r="A23" s="13" t="s">
        <v>15</v>
      </c>
      <c r="B23" s="14"/>
      <c r="C23" s="15"/>
      <c r="D23" s="38"/>
      <c r="E23" s="16"/>
      <c r="F23" s="16"/>
      <c r="G23" s="16"/>
      <c r="H23" s="15"/>
    </row>
    <row r="24" spans="1:8" x14ac:dyDescent="0.25">
      <c r="A24" s="30" t="s">
        <v>34</v>
      </c>
      <c r="B24" s="1" t="s">
        <v>13</v>
      </c>
      <c r="C24" s="2">
        <v>60</v>
      </c>
      <c r="D24" s="35">
        <v>60</v>
      </c>
      <c r="E24" s="4">
        <f>Table1345[[#This Row],[Effort Estimate per Role (hours)]]*Table1345[[#This Row],[Hourly Rate]]</f>
        <v>3600</v>
      </c>
      <c r="F24" s="31">
        <f>Table1345[[#This Row],[Cost per Role]]</f>
        <v>3600</v>
      </c>
      <c r="G24" s="4"/>
    </row>
    <row r="25" spans="1:8" x14ac:dyDescent="0.25">
      <c r="D25" s="35"/>
      <c r="E25" s="4"/>
      <c r="F25" s="4"/>
      <c r="G25" s="4"/>
    </row>
    <row r="26" spans="1:8" x14ac:dyDescent="0.25">
      <c r="A26" s="30" t="s">
        <v>35</v>
      </c>
      <c r="B26" s="1" t="s">
        <v>13</v>
      </c>
      <c r="C26" s="2">
        <v>24</v>
      </c>
      <c r="D26" s="35">
        <v>60</v>
      </c>
      <c r="E26" s="4">
        <f>Table1345[[#This Row],[Effort Estimate per Role (hours)]]*Table1345[[#This Row],[Hourly Rate]]</f>
        <v>1440</v>
      </c>
      <c r="F26" s="4"/>
      <c r="G26" s="4"/>
    </row>
    <row r="27" spans="1:8" x14ac:dyDescent="0.25">
      <c r="B27" s="1" t="s">
        <v>7</v>
      </c>
      <c r="C27" s="2">
        <v>8</v>
      </c>
      <c r="D27" s="35">
        <v>100</v>
      </c>
      <c r="E27" s="4">
        <f>Table1345[[#This Row],[Effort Estimate per Role (hours)]]*Table1345[[#This Row],[Hourly Rate]]</f>
        <v>800</v>
      </c>
      <c r="F27" s="4"/>
      <c r="G27" s="4"/>
    </row>
    <row r="28" spans="1:8" x14ac:dyDescent="0.25">
      <c r="A28" s="34" t="s">
        <v>71</v>
      </c>
      <c r="B28" s="32"/>
      <c r="C28" s="33"/>
      <c r="D28" s="36"/>
      <c r="E28" s="31"/>
      <c r="F28" s="31">
        <f>SUM(E26:E27)</f>
        <v>2240</v>
      </c>
      <c r="G28" s="31"/>
      <c r="H28" s="33"/>
    </row>
    <row r="29" spans="1:8" x14ac:dyDescent="0.25">
      <c r="D29" s="35"/>
      <c r="E29" s="4"/>
      <c r="F29" s="4"/>
      <c r="G29" s="4"/>
    </row>
    <row r="30" spans="1:8" x14ac:dyDescent="0.25">
      <c r="A30" s="30" t="s">
        <v>89</v>
      </c>
      <c r="B30" s="1" t="s">
        <v>7</v>
      </c>
      <c r="C30" s="2">
        <v>16</v>
      </c>
      <c r="D30" s="35">
        <v>100</v>
      </c>
      <c r="E30" s="4">
        <f>Table1345[[#This Row],[Effort Estimate per Role (hours)]]*Table1345[[#This Row],[Hourly Rate]]</f>
        <v>1600</v>
      </c>
      <c r="F30" s="4"/>
      <c r="G30" s="4"/>
    </row>
    <row r="31" spans="1:8" x14ac:dyDescent="0.25">
      <c r="B31" s="1" t="s">
        <v>13</v>
      </c>
      <c r="C31" s="2">
        <v>16</v>
      </c>
      <c r="D31" s="35">
        <v>60</v>
      </c>
      <c r="E31" s="4">
        <f>Table1345[[#This Row],[Effort Estimate per Role (hours)]]*Table1345[[#This Row],[Hourly Rate]]</f>
        <v>960</v>
      </c>
      <c r="F31" s="4"/>
      <c r="G31" s="4"/>
    </row>
    <row r="32" spans="1:8" x14ac:dyDescent="0.25">
      <c r="A32" s="34" t="s">
        <v>71</v>
      </c>
      <c r="B32" s="32"/>
      <c r="C32" s="33"/>
      <c r="D32" s="36"/>
      <c r="E32" s="31"/>
      <c r="F32" s="31">
        <f>SUM(E30:E31)</f>
        <v>2560</v>
      </c>
      <c r="G32" s="31"/>
      <c r="H32" s="33"/>
    </row>
    <row r="33" spans="1:8" x14ac:dyDescent="0.25">
      <c r="D33" s="35"/>
      <c r="E33" s="4"/>
      <c r="F33" s="4"/>
      <c r="G33" s="4"/>
    </row>
    <row r="34" spans="1:8" x14ac:dyDescent="0.25">
      <c r="A34" s="50" t="s">
        <v>88</v>
      </c>
      <c r="B34" s="1" t="s">
        <v>7</v>
      </c>
      <c r="C34" s="2">
        <v>16</v>
      </c>
      <c r="D34" s="35">
        <v>100</v>
      </c>
      <c r="E34" s="4">
        <f>Table1345[[#This Row],[Effort Estimate per Role (hours)]]*Table1345[[#This Row],[Hourly Rate]]</f>
        <v>1600</v>
      </c>
      <c r="F34" s="31">
        <f>Table1345[[#This Row],[Cost per Role]]</f>
        <v>1600</v>
      </c>
      <c r="G34" s="4"/>
    </row>
    <row r="35" spans="1:8" x14ac:dyDescent="0.25">
      <c r="A35" s="43" t="s">
        <v>87</v>
      </c>
      <c r="B35" s="40"/>
      <c r="C35" s="41">
        <f>SUM(C24:C34)</f>
        <v>140</v>
      </c>
      <c r="D35" s="44"/>
      <c r="E35" s="42"/>
      <c r="F35" s="42"/>
      <c r="G35" s="42"/>
      <c r="H35" s="41"/>
    </row>
    <row r="36" spans="1:8" x14ac:dyDescent="0.25">
      <c r="A36" s="7" t="s">
        <v>9</v>
      </c>
      <c r="B36" s="8"/>
      <c r="C36" s="5"/>
      <c r="D36" s="37"/>
      <c r="E36" s="6"/>
      <c r="F36" s="6"/>
      <c r="G36" s="9">
        <f>SUM(F24:F34)</f>
        <v>10000</v>
      </c>
      <c r="H36" s="12">
        <f>Table1345[[#This Row],[Cost per Phase]]/J1</f>
        <v>0.05</v>
      </c>
    </row>
    <row r="37" spans="1:8" x14ac:dyDescent="0.25">
      <c r="A37" s="13" t="s">
        <v>16</v>
      </c>
      <c r="B37" s="14"/>
      <c r="C37" s="15"/>
      <c r="D37" s="38"/>
      <c r="E37" s="16"/>
      <c r="F37" s="16"/>
      <c r="G37" s="16"/>
      <c r="H37" s="15"/>
    </row>
    <row r="38" spans="1:8" x14ac:dyDescent="0.25">
      <c r="A38" s="26" t="s">
        <v>19</v>
      </c>
      <c r="B38" s="27"/>
      <c r="C38" s="28"/>
      <c r="D38" s="39"/>
      <c r="E38" s="29"/>
      <c r="F38" s="29"/>
      <c r="G38" s="29"/>
      <c r="H38" s="28"/>
    </row>
    <row r="39" spans="1:8" x14ac:dyDescent="0.25">
      <c r="A39" s="52" t="s">
        <v>72</v>
      </c>
      <c r="B39" s="1" t="s">
        <v>13</v>
      </c>
      <c r="C39" s="2">
        <v>40</v>
      </c>
      <c r="D39" s="35">
        <v>60</v>
      </c>
      <c r="E39" s="4">
        <f>Table1345[[#This Row],[Effort Estimate per Role (hours)]]*Table1345[[#This Row],[Hourly Rate]]</f>
        <v>2400</v>
      </c>
      <c r="F39" s="4"/>
      <c r="G39" s="4"/>
    </row>
    <row r="40" spans="1:8" x14ac:dyDescent="0.25">
      <c r="B40" s="1" t="s">
        <v>67</v>
      </c>
      <c r="C40" s="2">
        <v>80</v>
      </c>
      <c r="D40" s="35">
        <v>60</v>
      </c>
      <c r="E40" s="4">
        <f>Table1345[[#This Row],[Effort Estimate per Role (hours)]]*Table1345[[#This Row],[Hourly Rate]]</f>
        <v>4800</v>
      </c>
      <c r="F40" s="4"/>
      <c r="G40" s="4"/>
    </row>
    <row r="41" spans="1:8" x14ac:dyDescent="0.25">
      <c r="B41" s="1" t="s">
        <v>68</v>
      </c>
      <c r="C41" s="2">
        <v>80</v>
      </c>
      <c r="D41" s="35">
        <v>60</v>
      </c>
      <c r="E41" s="4">
        <f>Table1345[[#This Row],[Effort Estimate per Role (hours)]]*Table1345[[#This Row],[Hourly Rate]]</f>
        <v>4800</v>
      </c>
      <c r="F41" s="4"/>
      <c r="G41" s="4"/>
    </row>
    <row r="42" spans="1:8" x14ac:dyDescent="0.25">
      <c r="A42" s="34" t="s">
        <v>71</v>
      </c>
      <c r="B42" s="32"/>
      <c r="C42" s="33"/>
      <c r="D42" s="36"/>
      <c r="E42" s="31"/>
      <c r="F42" s="31">
        <f>SUM(E39:E41)</f>
        <v>12000</v>
      </c>
      <c r="G42" s="31"/>
      <c r="H42" s="33"/>
    </row>
    <row r="43" spans="1:8" x14ac:dyDescent="0.25">
      <c r="A43" s="52" t="s">
        <v>36</v>
      </c>
      <c r="B43" s="1" t="s">
        <v>67</v>
      </c>
      <c r="C43" s="2">
        <v>40</v>
      </c>
      <c r="D43" s="35">
        <v>60</v>
      </c>
      <c r="E43" s="4">
        <f>Table1345[[#This Row],[Effort Estimate per Role (hours)]]*Table1345[[#This Row],[Hourly Rate]]</f>
        <v>2400</v>
      </c>
      <c r="F43" s="4"/>
      <c r="G43" s="4"/>
    </row>
    <row r="44" spans="1:8" x14ac:dyDescent="0.25">
      <c r="B44" s="1" t="s">
        <v>68</v>
      </c>
      <c r="C44" s="2">
        <v>40</v>
      </c>
      <c r="D44" s="35">
        <v>60</v>
      </c>
      <c r="E44" s="4">
        <f>Table1345[[#This Row],[Effort Estimate per Role (hours)]]*Table1345[[#This Row],[Hourly Rate]]</f>
        <v>2400</v>
      </c>
      <c r="F44" s="4"/>
      <c r="G44" s="4"/>
    </row>
    <row r="45" spans="1:8" x14ac:dyDescent="0.25">
      <c r="A45" s="34" t="s">
        <v>71</v>
      </c>
      <c r="B45" s="32"/>
      <c r="C45" s="33"/>
      <c r="D45" s="36"/>
      <c r="E45" s="31"/>
      <c r="F45" s="31">
        <f>SUM(E43:E44)</f>
        <v>4800</v>
      </c>
      <c r="G45" s="31"/>
      <c r="H45" s="33"/>
    </row>
    <row r="46" spans="1:8" x14ac:dyDescent="0.25">
      <c r="A46" s="26" t="s">
        <v>20</v>
      </c>
      <c r="B46" s="27"/>
      <c r="C46" s="28"/>
      <c r="D46" s="39"/>
      <c r="E46" s="29"/>
      <c r="F46" s="29"/>
      <c r="G46" s="29"/>
      <c r="H46" s="28"/>
    </row>
    <row r="47" spans="1:8" x14ac:dyDescent="0.25">
      <c r="A47" s="30" t="s">
        <v>38</v>
      </c>
      <c r="B47" s="1" t="s">
        <v>13</v>
      </c>
      <c r="C47" s="2">
        <v>40</v>
      </c>
      <c r="D47" s="35">
        <v>60</v>
      </c>
      <c r="E47" s="4">
        <f>Table1345[[#This Row],[Effort Estimate per Role (hours)]]*Table1345[[#This Row],[Hourly Rate]]</f>
        <v>2400</v>
      </c>
      <c r="F47" s="4"/>
      <c r="G47" s="4"/>
    </row>
    <row r="48" spans="1:8" x14ac:dyDescent="0.25">
      <c r="B48" s="1" t="s">
        <v>68</v>
      </c>
      <c r="C48" s="2">
        <v>40</v>
      </c>
      <c r="D48" s="35">
        <v>60</v>
      </c>
      <c r="E48" s="4">
        <f>Table1345[[#This Row],[Effort Estimate per Role (hours)]]*Table1345[[#This Row],[Hourly Rate]]</f>
        <v>2400</v>
      </c>
      <c r="F48" s="4"/>
      <c r="G48" s="4"/>
    </row>
    <row r="49" spans="1:8" x14ac:dyDescent="0.25">
      <c r="D49" s="35"/>
      <c r="E49" s="4"/>
      <c r="F49" s="4"/>
      <c r="G49" s="4"/>
    </row>
    <row r="50" spans="1:8" x14ac:dyDescent="0.25">
      <c r="A50" s="34" t="s">
        <v>71</v>
      </c>
      <c r="B50" s="32"/>
      <c r="C50" s="33"/>
      <c r="D50" s="36"/>
      <c r="E50" s="31"/>
      <c r="F50" s="31">
        <f>SUM(E47:E48)</f>
        <v>4800</v>
      </c>
      <c r="G50" s="31"/>
      <c r="H50" s="33"/>
    </row>
    <row r="51" spans="1:8" x14ac:dyDescent="0.25">
      <c r="A51" s="26" t="s">
        <v>21</v>
      </c>
      <c r="B51" s="27"/>
      <c r="C51" s="28"/>
      <c r="D51" s="39"/>
      <c r="E51" s="29"/>
      <c r="F51" s="29"/>
      <c r="G51" s="29"/>
      <c r="H51" s="28"/>
    </row>
    <row r="52" spans="1:8" x14ac:dyDescent="0.25">
      <c r="A52" s="30" t="s">
        <v>37</v>
      </c>
      <c r="B52" s="1" t="s">
        <v>67</v>
      </c>
      <c r="C52" s="2">
        <v>144</v>
      </c>
      <c r="D52" s="35">
        <v>60</v>
      </c>
      <c r="E52" s="4">
        <f>Table1345[[#This Row],[Effort Estimate per Role (hours)]]*Table1345[[#This Row],[Hourly Rate]]</f>
        <v>8640</v>
      </c>
      <c r="F52" s="4"/>
      <c r="G52" s="4"/>
    </row>
    <row r="53" spans="1:8" x14ac:dyDescent="0.25">
      <c r="B53" s="1" t="s">
        <v>68</v>
      </c>
      <c r="C53" s="2">
        <v>144</v>
      </c>
      <c r="D53" s="35">
        <v>60</v>
      </c>
      <c r="E53" s="4">
        <f>Table1345[[#This Row],[Effort Estimate per Role (hours)]]*Table1345[[#This Row],[Hourly Rate]]</f>
        <v>8640</v>
      </c>
      <c r="F53" s="4"/>
      <c r="G53" s="4"/>
    </row>
    <row r="54" spans="1:8" x14ac:dyDescent="0.25">
      <c r="B54" s="1" t="s">
        <v>13</v>
      </c>
      <c r="C54" s="2">
        <v>80</v>
      </c>
      <c r="D54" s="35">
        <v>60</v>
      </c>
      <c r="E54" s="4">
        <f>Table1345[[#This Row],[Effort Estimate per Role (hours)]]*Table1345[[#This Row],[Hourly Rate]]</f>
        <v>4800</v>
      </c>
      <c r="F54" s="4"/>
      <c r="G54" s="4"/>
    </row>
    <row r="55" spans="1:8" x14ac:dyDescent="0.25">
      <c r="A55" s="34" t="s">
        <v>71</v>
      </c>
      <c r="B55" s="32"/>
      <c r="C55" s="33"/>
      <c r="D55" s="36"/>
      <c r="E55" s="31"/>
      <c r="F55" s="31">
        <f>SUM(E52:E54)</f>
        <v>22080</v>
      </c>
      <c r="G55" s="31"/>
      <c r="H55" s="33"/>
    </row>
    <row r="56" spans="1:8" x14ac:dyDescent="0.25">
      <c r="A56" s="26" t="s">
        <v>22</v>
      </c>
      <c r="B56" s="27"/>
      <c r="C56" s="28"/>
      <c r="D56" s="39"/>
      <c r="E56" s="29"/>
      <c r="F56" s="29"/>
      <c r="G56" s="29"/>
      <c r="H56" s="28"/>
    </row>
    <row r="57" spans="1:8" x14ac:dyDescent="0.25">
      <c r="A57" s="30" t="s">
        <v>73</v>
      </c>
      <c r="B57" s="1" t="s">
        <v>13</v>
      </c>
      <c r="C57" s="2">
        <v>16</v>
      </c>
      <c r="D57" s="35">
        <v>60</v>
      </c>
      <c r="E57" s="4">
        <f>Table1345[[#This Row],[Effort Estimate per Role (hours)]]*Table1345[[#This Row],[Hourly Rate]]</f>
        <v>960</v>
      </c>
      <c r="F57" s="25"/>
      <c r="G57" s="4"/>
    </row>
    <row r="58" spans="1:8" x14ac:dyDescent="0.25">
      <c r="B58" s="1" t="s">
        <v>67</v>
      </c>
      <c r="C58" s="2">
        <v>56</v>
      </c>
      <c r="D58" s="35">
        <v>60</v>
      </c>
      <c r="E58" s="4">
        <f>Table1345[[#This Row],[Effort Estimate per Role (hours)]]*Table1345[[#This Row],[Hourly Rate]]</f>
        <v>3360</v>
      </c>
      <c r="F58" s="25"/>
      <c r="G58" s="4"/>
    </row>
    <row r="59" spans="1:8" x14ac:dyDescent="0.25">
      <c r="A59" s="3"/>
      <c r="B59" s="1" t="s">
        <v>68</v>
      </c>
      <c r="C59" s="2">
        <v>56</v>
      </c>
      <c r="D59" s="35">
        <v>60</v>
      </c>
      <c r="E59" s="4">
        <f>Table1345[[#This Row],[Effort Estimate per Role (hours)]]*Table1345[[#This Row],[Hourly Rate]]</f>
        <v>3360</v>
      </c>
      <c r="F59" s="4"/>
      <c r="G59" s="4"/>
    </row>
    <row r="60" spans="1:8" x14ac:dyDescent="0.25">
      <c r="A60" s="53" t="s">
        <v>87</v>
      </c>
      <c r="B60" s="40"/>
      <c r="C60" s="41">
        <f>SUM(C39:C59)</f>
        <v>856</v>
      </c>
      <c r="D60" s="42"/>
      <c r="E60" s="42"/>
      <c r="F60" s="42"/>
      <c r="G60" s="42"/>
      <c r="H60" s="41"/>
    </row>
    <row r="61" spans="1:8" x14ac:dyDescent="0.25">
      <c r="A61" s="34" t="s">
        <v>71</v>
      </c>
      <c r="B61" s="32"/>
      <c r="C61" s="33"/>
      <c r="D61" s="36"/>
      <c r="E61" s="31"/>
      <c r="F61" s="31">
        <f>SUM(E57:E59)</f>
        <v>7680</v>
      </c>
      <c r="G61" s="31"/>
      <c r="H61" s="33"/>
    </row>
    <row r="62" spans="1:8" x14ac:dyDescent="0.25">
      <c r="A62" s="7" t="s">
        <v>9</v>
      </c>
      <c r="B62" s="8"/>
      <c r="C62" s="5"/>
      <c r="D62" s="37"/>
      <c r="E62" s="6"/>
      <c r="F62" s="6"/>
      <c r="G62" s="9">
        <f>SUM(F42:F61)</f>
        <v>51360</v>
      </c>
      <c r="H62" s="12">
        <f>Table1345[[#This Row],[Cost per Phase]]/J1</f>
        <v>0.25679999999999997</v>
      </c>
    </row>
    <row r="63" spans="1:8" x14ac:dyDescent="0.25">
      <c r="A63" s="13" t="s">
        <v>74</v>
      </c>
      <c r="B63" s="14"/>
      <c r="C63" s="15"/>
      <c r="D63" s="38"/>
      <c r="E63" s="16"/>
      <c r="F63" s="16"/>
      <c r="G63" s="16"/>
      <c r="H63" s="15"/>
    </row>
    <row r="64" spans="1:8" x14ac:dyDescent="0.25">
      <c r="A64" s="26" t="s">
        <v>23</v>
      </c>
      <c r="B64" s="27"/>
      <c r="C64" s="28"/>
      <c r="D64" s="39"/>
      <c r="E64" s="29"/>
      <c r="F64" s="29"/>
      <c r="G64" s="29"/>
      <c r="H64" s="28"/>
    </row>
    <row r="65" spans="1:8" x14ac:dyDescent="0.25">
      <c r="A65" s="30" t="s">
        <v>39</v>
      </c>
      <c r="B65" s="1" t="s">
        <v>67</v>
      </c>
      <c r="C65" s="2">
        <v>80</v>
      </c>
      <c r="D65" s="35">
        <v>60</v>
      </c>
      <c r="E65" s="4">
        <f>Table1345[[#This Row],[Effort Estimate per Role (hours)]]*Table1345[[#This Row],[Hourly Rate]]</f>
        <v>4800</v>
      </c>
      <c r="F65" s="31">
        <f>Table1345[[#This Row],[Cost per Role]]</f>
        <v>4800</v>
      </c>
      <c r="G65" s="4"/>
    </row>
    <row r="66" spans="1:8" x14ac:dyDescent="0.25">
      <c r="D66" s="35"/>
      <c r="E66" s="4"/>
      <c r="F66" s="4"/>
      <c r="G66" s="4"/>
    </row>
    <row r="67" spans="1:8" x14ac:dyDescent="0.25">
      <c r="A67" s="26" t="s">
        <v>24</v>
      </c>
      <c r="B67" s="27"/>
      <c r="C67" s="28"/>
      <c r="D67" s="39"/>
      <c r="E67" s="29"/>
      <c r="F67" s="29"/>
      <c r="G67" s="29"/>
      <c r="H67" s="28"/>
    </row>
    <row r="68" spans="1:8" x14ac:dyDescent="0.25">
      <c r="A68" s="30" t="s">
        <v>40</v>
      </c>
      <c r="B68" s="1" t="s">
        <v>67</v>
      </c>
      <c r="C68" s="2">
        <v>120</v>
      </c>
      <c r="D68" s="35">
        <v>60</v>
      </c>
      <c r="E68" s="4">
        <f>Table1345[[#This Row],[Hourly Rate]]*Table1345[[#This Row],[Effort Estimate per Role (hours)]]</f>
        <v>7200</v>
      </c>
      <c r="F68" s="4"/>
      <c r="G68" s="4"/>
    </row>
    <row r="69" spans="1:8" x14ac:dyDescent="0.25">
      <c r="B69" s="1" t="s">
        <v>68</v>
      </c>
      <c r="C69" s="2">
        <v>120</v>
      </c>
      <c r="D69" s="35">
        <v>60</v>
      </c>
      <c r="E69" s="4">
        <f>Table1345[[#This Row],[Effort Estimate per Role (hours)]]*Table1345[[#This Row],[Hourly Rate]]</f>
        <v>7200</v>
      </c>
      <c r="F69" s="51"/>
      <c r="G69" s="4"/>
    </row>
    <row r="70" spans="1:8" x14ac:dyDescent="0.25">
      <c r="A70" s="34" t="s">
        <v>71</v>
      </c>
      <c r="B70" s="32"/>
      <c r="C70" s="33"/>
      <c r="D70" s="36"/>
      <c r="E70" s="31"/>
      <c r="F70" s="31">
        <f>SUM(E68:E69)</f>
        <v>14400</v>
      </c>
      <c r="G70" s="31"/>
      <c r="H70" s="33"/>
    </row>
    <row r="71" spans="1:8" x14ac:dyDescent="0.25">
      <c r="A71" s="26" t="s">
        <v>25</v>
      </c>
      <c r="B71" s="27"/>
      <c r="C71" s="28"/>
      <c r="D71" s="39"/>
      <c r="E71" s="29"/>
      <c r="F71" s="29"/>
      <c r="G71" s="29"/>
      <c r="H71" s="28"/>
    </row>
    <row r="72" spans="1:8" x14ac:dyDescent="0.25">
      <c r="A72" s="30" t="s">
        <v>41</v>
      </c>
      <c r="B72" s="1" t="s">
        <v>67</v>
      </c>
      <c r="C72" s="2">
        <v>120</v>
      </c>
      <c r="D72" s="35">
        <v>60</v>
      </c>
      <c r="E72" s="4">
        <f>Table1345[[#This Row],[Effort Estimate per Role (hours)]]*Table1345[[#This Row],[Hourly Rate]]</f>
        <v>7200</v>
      </c>
      <c r="F72" s="4"/>
      <c r="G72" s="4"/>
    </row>
    <row r="73" spans="1:8" x14ac:dyDescent="0.25">
      <c r="B73" s="1" t="s">
        <v>68</v>
      </c>
      <c r="C73" s="2">
        <v>120</v>
      </c>
      <c r="D73" s="35">
        <v>60</v>
      </c>
      <c r="E73" s="4">
        <f>Table1345[[#This Row],[Effort Estimate per Role (hours)]]*Table1345[[#This Row],[Hourly Rate]]</f>
        <v>7200</v>
      </c>
      <c r="F73" s="4"/>
      <c r="G73" s="4"/>
    </row>
    <row r="74" spans="1:8" x14ac:dyDescent="0.25">
      <c r="A74" s="34" t="s">
        <v>71</v>
      </c>
      <c r="B74" s="32"/>
      <c r="C74" s="33"/>
      <c r="D74" s="36"/>
      <c r="E74" s="31"/>
      <c r="F74" s="31">
        <f>SUM(E72:E73)</f>
        <v>14400</v>
      </c>
      <c r="G74" s="31"/>
      <c r="H74" s="33"/>
    </row>
    <row r="75" spans="1:8" x14ac:dyDescent="0.25">
      <c r="A75" s="30" t="s">
        <v>42</v>
      </c>
      <c r="B75" s="1" t="s">
        <v>65</v>
      </c>
      <c r="C75" s="2">
        <v>40</v>
      </c>
      <c r="D75" s="35">
        <v>60</v>
      </c>
      <c r="E75" s="4">
        <f>Table1345[[#This Row],[Hourly Rate]]*Table1345[[#This Row],[Effort Estimate per Role (hours)]]</f>
        <v>2400</v>
      </c>
      <c r="F75" s="4"/>
      <c r="G75" s="4"/>
    </row>
    <row r="76" spans="1:8" x14ac:dyDescent="0.25">
      <c r="B76" s="1" t="s">
        <v>67</v>
      </c>
      <c r="C76" s="2">
        <v>96</v>
      </c>
      <c r="D76" s="35">
        <v>60</v>
      </c>
      <c r="E76" s="4">
        <f>Table1345[[#This Row],[Effort Estimate per Role (hours)]]*Table1345[[#This Row],[Hourly Rate]]</f>
        <v>5760</v>
      </c>
      <c r="F76" s="4"/>
      <c r="G76" s="4"/>
    </row>
    <row r="77" spans="1:8" x14ac:dyDescent="0.25">
      <c r="B77" s="1" t="s">
        <v>68</v>
      </c>
      <c r="C77" s="2">
        <v>96</v>
      </c>
      <c r="D77" s="35">
        <v>60</v>
      </c>
      <c r="E77" s="4">
        <f>Table1345[[#This Row],[Effort Estimate per Role (hours)]]*Table1345[[#This Row],[Hourly Rate]]</f>
        <v>5760</v>
      </c>
      <c r="F77" s="4"/>
      <c r="G77" s="4"/>
    </row>
    <row r="78" spans="1:8" x14ac:dyDescent="0.25">
      <c r="A78" s="34" t="s">
        <v>71</v>
      </c>
      <c r="B78" s="32"/>
      <c r="C78" s="33"/>
      <c r="D78" s="36"/>
      <c r="E78" s="31"/>
      <c r="F78" s="31">
        <f>SUM(E75:E77)</f>
        <v>13920</v>
      </c>
      <c r="G78" s="31"/>
      <c r="H78" s="33"/>
    </row>
    <row r="79" spans="1:8" x14ac:dyDescent="0.25">
      <c r="D79" s="35"/>
      <c r="E79" s="4"/>
      <c r="F79" s="4"/>
      <c r="G79" s="4"/>
    </row>
    <row r="80" spans="1:8" x14ac:dyDescent="0.25">
      <c r="A80" s="30" t="s">
        <v>43</v>
      </c>
      <c r="B80" s="1" t="s">
        <v>68</v>
      </c>
      <c r="C80" s="2">
        <v>88</v>
      </c>
      <c r="D80" s="35">
        <v>60</v>
      </c>
      <c r="E80" s="4">
        <f>Table1345[[#This Row],[Effort Estimate per Role (hours)]]*Table1345[[#This Row],[Hourly Rate]]</f>
        <v>5280</v>
      </c>
      <c r="F80" s="31">
        <f>Table1345[[#This Row],[Cost per Role]]</f>
        <v>5280</v>
      </c>
      <c r="G80" s="4"/>
    </row>
    <row r="81" spans="1:8" x14ac:dyDescent="0.25">
      <c r="A81" s="3"/>
      <c r="D81" s="35"/>
      <c r="E81" s="4"/>
      <c r="F81" s="4"/>
      <c r="G81" s="4"/>
    </row>
    <row r="82" spans="1:8" x14ac:dyDescent="0.25">
      <c r="A82" s="26" t="s">
        <v>26</v>
      </c>
      <c r="B82" s="27"/>
      <c r="C82" s="28"/>
      <c r="D82" s="39"/>
      <c r="E82" s="29"/>
      <c r="F82" s="29"/>
      <c r="G82" s="29"/>
      <c r="H82" s="28"/>
    </row>
    <row r="83" spans="1:8" x14ac:dyDescent="0.25">
      <c r="A83" s="30" t="s">
        <v>44</v>
      </c>
      <c r="B83" s="1" t="s">
        <v>65</v>
      </c>
      <c r="C83" s="2">
        <v>32</v>
      </c>
      <c r="D83" s="35">
        <v>60</v>
      </c>
      <c r="E83" s="4">
        <f>Table1345[[#This Row],[Hourly Rate]]*Table1345[[#This Row],[Effort Estimate per Role (hours)]]</f>
        <v>1920</v>
      </c>
      <c r="F83" s="4"/>
      <c r="G83" s="4"/>
    </row>
    <row r="84" spans="1:8" x14ac:dyDescent="0.25">
      <c r="B84" s="1" t="s">
        <v>66</v>
      </c>
      <c r="C84" s="2">
        <v>32</v>
      </c>
      <c r="D84" s="35">
        <v>60</v>
      </c>
      <c r="E84" s="4">
        <f>Table1345[[#This Row],[Effort Estimate per Role (hours)]]*Table1345[[#This Row],[Hourly Rate]]</f>
        <v>1920</v>
      </c>
      <c r="F84" s="4"/>
      <c r="G84" s="4"/>
    </row>
    <row r="85" spans="1:8" x14ac:dyDescent="0.25">
      <c r="B85" s="1" t="s">
        <v>67</v>
      </c>
      <c r="C85" s="2">
        <v>96</v>
      </c>
      <c r="D85" s="35">
        <v>60</v>
      </c>
      <c r="E85" s="4">
        <f>Table1345[[#This Row],[Effort Estimate per Role (hours)]]*Table1345[[#This Row],[Hourly Rate]]</f>
        <v>5760</v>
      </c>
      <c r="F85" s="4"/>
      <c r="G85" s="4"/>
    </row>
    <row r="86" spans="1:8" x14ac:dyDescent="0.25">
      <c r="B86" s="1" t="s">
        <v>68</v>
      </c>
      <c r="C86" s="2">
        <v>96</v>
      </c>
      <c r="D86" s="35">
        <v>60</v>
      </c>
      <c r="E86" s="4">
        <f>Table1345[[#This Row],[Effort Estimate per Role (hours)]]*Table1345[[#This Row],[Hourly Rate]]</f>
        <v>5760</v>
      </c>
      <c r="F86" s="4"/>
      <c r="G86" s="4"/>
    </row>
    <row r="87" spans="1:8" x14ac:dyDescent="0.25">
      <c r="A87" s="34" t="s">
        <v>71</v>
      </c>
      <c r="B87" s="32"/>
      <c r="C87" s="33"/>
      <c r="D87" s="36"/>
      <c r="E87" s="31"/>
      <c r="F87" s="31">
        <f>SUM(E83:E86)</f>
        <v>15360</v>
      </c>
      <c r="G87" s="31"/>
      <c r="H87" s="33"/>
    </row>
    <row r="88" spans="1:8" x14ac:dyDescent="0.25">
      <c r="A88" s="1" t="s">
        <v>75</v>
      </c>
      <c r="B88" s="1" t="s">
        <v>7</v>
      </c>
      <c r="C88" s="2">
        <v>8</v>
      </c>
      <c r="D88" s="35">
        <v>100</v>
      </c>
      <c r="E88" s="4">
        <f>Table1345[[#This Row],[Effort Estimate per Role (hours)]]*Table1345[[#This Row],[Hourly Rate]]</f>
        <v>800</v>
      </c>
      <c r="F88" s="4"/>
      <c r="G88" s="4"/>
    </row>
    <row r="89" spans="1:8" x14ac:dyDescent="0.25">
      <c r="B89" s="1" t="s">
        <v>67</v>
      </c>
      <c r="C89" s="2">
        <v>8</v>
      </c>
      <c r="D89" s="35">
        <v>60</v>
      </c>
      <c r="E89" s="4">
        <f>Table1345[[#This Row],[Effort Estimate per Role (hours)]]*Table1345[[#This Row],[Hourly Rate]]</f>
        <v>480</v>
      </c>
      <c r="F89" s="4"/>
      <c r="G89" s="4"/>
    </row>
    <row r="90" spans="1:8" x14ac:dyDescent="0.25">
      <c r="A90" s="34" t="s">
        <v>71</v>
      </c>
      <c r="B90" s="32"/>
      <c r="C90" s="33"/>
      <c r="D90" s="36"/>
      <c r="E90" s="31"/>
      <c r="F90" s="31">
        <f>SUM(E88:E89)</f>
        <v>1280</v>
      </c>
      <c r="G90" s="4"/>
    </row>
    <row r="91" spans="1:8" x14ac:dyDescent="0.25">
      <c r="D91" s="35"/>
      <c r="E91" s="4"/>
      <c r="F91" s="4"/>
      <c r="G91" s="4"/>
    </row>
    <row r="92" spans="1:8" x14ac:dyDescent="0.25">
      <c r="A92" s="1" t="s">
        <v>76</v>
      </c>
      <c r="B92" s="1" t="s">
        <v>67</v>
      </c>
      <c r="C92" s="2">
        <v>120</v>
      </c>
      <c r="D92" s="35">
        <v>60</v>
      </c>
      <c r="E92" s="4">
        <f>Table1345[[#This Row],[Effort Estimate per Role (hours)]]*Table1345[[#This Row],[Hourly Rate]]</f>
        <v>7200</v>
      </c>
      <c r="F92" s="31">
        <f>Table1345[[#This Row],[Cost per Role]]</f>
        <v>7200</v>
      </c>
      <c r="G92" s="4"/>
    </row>
    <row r="93" spans="1:8" x14ac:dyDescent="0.25">
      <c r="A93" s="40" t="s">
        <v>87</v>
      </c>
      <c r="B93" s="40"/>
      <c r="C93" s="41">
        <f>SUM(C65:C92)</f>
        <v>1272</v>
      </c>
      <c r="D93" s="44"/>
      <c r="E93" s="42"/>
      <c r="F93" s="42"/>
      <c r="G93" s="42"/>
      <c r="H93" s="41"/>
    </row>
    <row r="94" spans="1:8" x14ac:dyDescent="0.25">
      <c r="A94" s="34"/>
      <c r="B94" s="32"/>
      <c r="C94" s="33"/>
      <c r="D94" s="36"/>
      <c r="E94" s="31"/>
      <c r="F94" s="31"/>
      <c r="G94" s="31"/>
      <c r="H94" s="33"/>
    </row>
    <row r="95" spans="1:8" ht="14.25" customHeight="1" x14ac:dyDescent="0.25">
      <c r="A95" s="7" t="s">
        <v>9</v>
      </c>
      <c r="B95" s="8"/>
      <c r="C95" s="5"/>
      <c r="D95" s="37"/>
      <c r="E95" s="6"/>
      <c r="F95" s="6"/>
      <c r="G95" s="9">
        <f>SUM(F65:F94)</f>
        <v>76640</v>
      </c>
      <c r="H95" s="12">
        <f>Table1345[[#This Row],[Cost per Phase]]/J1</f>
        <v>0.38319999999999999</v>
      </c>
    </row>
    <row r="96" spans="1:8" x14ac:dyDescent="0.25">
      <c r="A96" s="13" t="s">
        <v>17</v>
      </c>
      <c r="B96" s="14"/>
      <c r="C96" s="15"/>
      <c r="D96" s="38"/>
      <c r="E96" s="16"/>
      <c r="F96" s="16"/>
      <c r="G96" s="16"/>
      <c r="H96" s="15"/>
    </row>
    <row r="97" spans="1:8" x14ac:dyDescent="0.25">
      <c r="A97" s="30" t="s">
        <v>45</v>
      </c>
      <c r="B97" s="1" t="s">
        <v>13</v>
      </c>
      <c r="C97" s="2">
        <v>8</v>
      </c>
      <c r="D97" s="35">
        <v>60</v>
      </c>
      <c r="E97" s="4">
        <f>Table1345[[#This Row],[Effort Estimate per Role (hours)]]*Table1345[[#This Row],[Hourly Rate]]</f>
        <v>480</v>
      </c>
      <c r="F97" s="4"/>
      <c r="G97" s="4"/>
    </row>
    <row r="98" spans="1:8" x14ac:dyDescent="0.25">
      <c r="B98" s="1" t="s">
        <v>77</v>
      </c>
      <c r="C98" s="2">
        <v>8</v>
      </c>
      <c r="D98" s="35">
        <v>60</v>
      </c>
      <c r="E98" s="4">
        <f>Table1345[[#This Row],[Effort Estimate per Role (hours)]]*Table1345[[#This Row],[Hourly Rate]]</f>
        <v>480</v>
      </c>
      <c r="F98" s="4"/>
      <c r="G98" s="4"/>
    </row>
    <row r="99" spans="1:8" x14ac:dyDescent="0.25">
      <c r="B99" s="1" t="s">
        <v>78</v>
      </c>
      <c r="C99" s="2">
        <v>8</v>
      </c>
      <c r="D99" s="35">
        <v>60</v>
      </c>
      <c r="E99" s="4">
        <f>Table1345[[#This Row],[Effort Estimate per Role (hours)]]*Table1345[[#This Row],[Hourly Rate]]</f>
        <v>480</v>
      </c>
      <c r="F99" s="4"/>
      <c r="G99" s="4"/>
    </row>
    <row r="100" spans="1:8" x14ac:dyDescent="0.25">
      <c r="B100" s="1" t="s">
        <v>67</v>
      </c>
      <c r="C100" s="2">
        <v>24</v>
      </c>
      <c r="D100" s="35">
        <v>60</v>
      </c>
      <c r="E100" s="4">
        <f>Table1345[[#This Row],[Effort Estimate per Role (hours)]]*Table1345[[#This Row],[Hourly Rate]]</f>
        <v>1440</v>
      </c>
      <c r="F100" s="4"/>
      <c r="G100" s="4"/>
    </row>
    <row r="101" spans="1:8" x14ac:dyDescent="0.25">
      <c r="A101" s="34" t="s">
        <v>71</v>
      </c>
      <c r="B101" s="32"/>
      <c r="C101" s="33"/>
      <c r="D101" s="36"/>
      <c r="E101" s="31"/>
      <c r="F101" s="31">
        <f>SUM(E97:E100)</f>
        <v>2880</v>
      </c>
      <c r="G101" s="31"/>
      <c r="H101" s="33"/>
    </row>
    <row r="102" spans="1:8" x14ac:dyDescent="0.25">
      <c r="B102" s="1" t="s">
        <v>67</v>
      </c>
      <c r="C102" s="2">
        <v>40</v>
      </c>
      <c r="D102" s="35">
        <v>60</v>
      </c>
      <c r="E102" s="4">
        <f>Table1345[[#This Row],[Hourly Rate]]*Table1345[[#This Row],[Effort Estimate per Role (hours)]]</f>
        <v>2400</v>
      </c>
      <c r="F102" s="4"/>
      <c r="G102" s="4"/>
    </row>
    <row r="103" spans="1:8" x14ac:dyDescent="0.25">
      <c r="A103" s="30" t="s">
        <v>46</v>
      </c>
      <c r="B103" s="1" t="s">
        <v>84</v>
      </c>
      <c r="C103" s="2">
        <v>40</v>
      </c>
      <c r="D103" s="35">
        <v>60</v>
      </c>
      <c r="E103" s="4">
        <f>Table1345[[#This Row],[Effort Estimate per Role (hours)]]*Table1345[[#This Row],[Hourly Rate]]</f>
        <v>2400</v>
      </c>
      <c r="F103" s="4"/>
      <c r="G103" s="4"/>
    </row>
    <row r="104" spans="1:8" x14ac:dyDescent="0.25">
      <c r="D104" s="35"/>
      <c r="E104" s="4"/>
      <c r="F104" s="4"/>
      <c r="G104" s="4"/>
    </row>
    <row r="105" spans="1:8" x14ac:dyDescent="0.25">
      <c r="A105" s="34" t="s">
        <v>71</v>
      </c>
      <c r="B105" s="32"/>
      <c r="C105" s="33"/>
      <c r="D105" s="36"/>
      <c r="E105" s="31"/>
      <c r="F105" s="31">
        <f>SUM(E102:E103)</f>
        <v>4800</v>
      </c>
      <c r="G105" s="31"/>
      <c r="H105" s="33"/>
    </row>
    <row r="106" spans="1:8" x14ac:dyDescent="0.25">
      <c r="B106" s="1" t="s">
        <v>67</v>
      </c>
      <c r="C106" s="2">
        <v>40</v>
      </c>
      <c r="D106" s="35">
        <v>60</v>
      </c>
      <c r="E106" s="4">
        <f>Table1345[[#This Row],[Hourly Rate]]*Table1345[[#This Row],[Effort Estimate per Role (hours)]]</f>
        <v>2400</v>
      </c>
      <c r="F106" s="4"/>
      <c r="G106" s="4"/>
    </row>
    <row r="107" spans="1:8" x14ac:dyDescent="0.25">
      <c r="A107" s="30" t="s">
        <v>47</v>
      </c>
      <c r="B107" s="1" t="s">
        <v>85</v>
      </c>
      <c r="C107" s="2">
        <v>40</v>
      </c>
      <c r="D107" s="35">
        <v>60</v>
      </c>
      <c r="E107" s="4">
        <f>Table1345[[#This Row],[Effort Estimate per Role (hours)]]*Table1345[[#This Row],[Hourly Rate]]</f>
        <v>2400</v>
      </c>
      <c r="F107" s="25"/>
      <c r="G107" s="4"/>
    </row>
    <row r="108" spans="1:8" x14ac:dyDescent="0.25">
      <c r="D108" s="35"/>
      <c r="E108" s="4"/>
      <c r="F108" s="25"/>
      <c r="G108" s="4"/>
    </row>
    <row r="109" spans="1:8" x14ac:dyDescent="0.25">
      <c r="A109" s="34" t="s">
        <v>71</v>
      </c>
      <c r="B109" s="32"/>
      <c r="C109" s="33"/>
      <c r="D109" s="36"/>
      <c r="E109" s="31"/>
      <c r="F109" s="31">
        <f>SUM(E106:E107)</f>
        <v>4800</v>
      </c>
      <c r="G109" s="31"/>
      <c r="H109" s="33"/>
    </row>
    <row r="110" spans="1:8" x14ac:dyDescent="0.25">
      <c r="A110" s="30" t="s">
        <v>48</v>
      </c>
      <c r="B110" s="1" t="s">
        <v>79</v>
      </c>
      <c r="C110" s="2">
        <v>40</v>
      </c>
      <c r="D110" s="35">
        <v>60</v>
      </c>
      <c r="E110" s="4">
        <f>Table1345[[#This Row],[Effort Estimate per Role (hours)]]*Table1345[[#This Row],[Hourly Rate]]</f>
        <v>2400</v>
      </c>
      <c r="F110" s="25"/>
      <c r="G110" s="4"/>
    </row>
    <row r="111" spans="1:8" x14ac:dyDescent="0.25">
      <c r="B111" s="1" t="s">
        <v>80</v>
      </c>
      <c r="C111" s="2">
        <v>40</v>
      </c>
      <c r="D111" s="35">
        <v>60</v>
      </c>
      <c r="E111" s="4">
        <f>Table1345[[#This Row],[Effort Estimate per Role (hours)]]*Table1345[[#This Row],[Hourly Rate]]</f>
        <v>2400</v>
      </c>
      <c r="F111" s="25"/>
      <c r="G111" s="4"/>
    </row>
    <row r="112" spans="1:8" x14ac:dyDescent="0.25">
      <c r="B112" s="1" t="s">
        <v>81</v>
      </c>
      <c r="C112" s="2">
        <v>40</v>
      </c>
      <c r="D112" s="35">
        <v>60</v>
      </c>
      <c r="E112" s="4">
        <f>Table1345[[#This Row],[Effort Estimate per Role (hours)]]*Table1345[[#This Row],[Hourly Rate]]</f>
        <v>2400</v>
      </c>
      <c r="F112" s="25"/>
      <c r="G112" s="4"/>
    </row>
    <row r="113" spans="1:8" x14ac:dyDescent="0.25">
      <c r="B113" s="1" t="s">
        <v>82</v>
      </c>
      <c r="C113" s="2">
        <v>40</v>
      </c>
      <c r="D113" s="35">
        <v>60</v>
      </c>
      <c r="E113" s="4">
        <f>Table1345[[#This Row],[Effort Estimate per Role (hours)]]*Table1345[[#This Row],[Hourly Rate]]</f>
        <v>2400</v>
      </c>
      <c r="F113" s="25"/>
      <c r="G113" s="4"/>
    </row>
    <row r="114" spans="1:8" x14ac:dyDescent="0.25">
      <c r="B114" s="1" t="s">
        <v>83</v>
      </c>
      <c r="C114" s="2">
        <v>40</v>
      </c>
      <c r="D114" s="35">
        <v>60</v>
      </c>
      <c r="E114" s="4">
        <f>Table1345[[#This Row],[Effort Estimate per Role (hours)]]*Table1345[[#This Row],[Hourly Rate]]</f>
        <v>2400</v>
      </c>
      <c r="F114" s="4"/>
      <c r="G114" s="4"/>
    </row>
    <row r="115" spans="1:8" x14ac:dyDescent="0.25">
      <c r="A115" s="34" t="s">
        <v>71</v>
      </c>
      <c r="B115" s="32"/>
      <c r="C115" s="33"/>
      <c r="D115" s="36"/>
      <c r="E115" s="31"/>
      <c r="F115" s="31">
        <f>SUM(E110:E114)</f>
        <v>12000</v>
      </c>
      <c r="G115" s="31"/>
      <c r="H115" s="33"/>
    </row>
    <row r="116" spans="1:8" x14ac:dyDescent="0.25">
      <c r="A116" s="30" t="s">
        <v>49</v>
      </c>
      <c r="B116" s="1" t="s">
        <v>67</v>
      </c>
      <c r="C116" s="2">
        <v>40</v>
      </c>
      <c r="D116" s="35">
        <v>60</v>
      </c>
      <c r="E116" s="4">
        <f>Table1345[[#This Row],[Hourly Rate]]*Table1345[[#This Row],[Effort Estimate per Role (hours)]]</f>
        <v>2400</v>
      </c>
      <c r="F116" s="4"/>
      <c r="G116" s="4"/>
    </row>
    <row r="117" spans="1:8" x14ac:dyDescent="0.25">
      <c r="B117" s="1" t="s">
        <v>81</v>
      </c>
      <c r="C117" s="2">
        <v>24</v>
      </c>
      <c r="D117" s="35">
        <v>60</v>
      </c>
      <c r="E117" s="4">
        <f>Table1345[[#This Row],[Effort Estimate per Role (hours)]]*Table1345[[#This Row],[Hourly Rate]]</f>
        <v>1440</v>
      </c>
      <c r="F117" s="4"/>
      <c r="G117" s="4"/>
    </row>
    <row r="118" spans="1:8" x14ac:dyDescent="0.25">
      <c r="B118" s="1" t="s">
        <v>82</v>
      </c>
      <c r="C118" s="2">
        <v>24</v>
      </c>
      <c r="D118" s="35">
        <v>60</v>
      </c>
      <c r="E118" s="4">
        <f>Table1345[[#This Row],[Effort Estimate per Role (hours)]]*Table1345[[#This Row],[Hourly Rate]]</f>
        <v>1440</v>
      </c>
      <c r="F118" s="4"/>
      <c r="G118" s="4"/>
    </row>
    <row r="119" spans="1:8" x14ac:dyDescent="0.25">
      <c r="A119" s="34" t="s">
        <v>71</v>
      </c>
      <c r="B119" s="32"/>
      <c r="C119" s="33"/>
      <c r="D119" s="36"/>
      <c r="E119" s="31"/>
      <c r="F119" s="31">
        <f>SUM(E116:E118)</f>
        <v>5280</v>
      </c>
      <c r="G119" s="31"/>
      <c r="H119" s="33"/>
    </row>
    <row r="120" spans="1:8" x14ac:dyDescent="0.25">
      <c r="B120" s="1" t="s">
        <v>7</v>
      </c>
      <c r="C120" s="2">
        <v>4</v>
      </c>
      <c r="D120" s="35">
        <v>100</v>
      </c>
      <c r="E120" s="4">
        <f>Table1345[[#This Row],[Hourly Rate]]*Table1345[[#This Row],[Effort Estimate per Role (hours)]]</f>
        <v>400</v>
      </c>
      <c r="F120" s="4"/>
      <c r="G120" s="4"/>
    </row>
    <row r="121" spans="1:8" x14ac:dyDescent="0.25">
      <c r="A121" s="30" t="s">
        <v>50</v>
      </c>
      <c r="B121" s="1" t="s">
        <v>13</v>
      </c>
      <c r="C121" s="2">
        <v>16</v>
      </c>
      <c r="D121" s="35">
        <v>60</v>
      </c>
      <c r="E121" s="4">
        <f>Table1345[[#This Row],[Effort Estimate per Role (hours)]]*Table1345[[#This Row],[Hourly Rate]]</f>
        <v>960</v>
      </c>
      <c r="F121" s="4"/>
      <c r="G121" s="4"/>
    </row>
    <row r="122" spans="1:8" x14ac:dyDescent="0.25">
      <c r="B122" s="1" t="s">
        <v>65</v>
      </c>
      <c r="C122" s="2">
        <v>16</v>
      </c>
      <c r="D122" s="35">
        <v>60</v>
      </c>
      <c r="E122" s="4">
        <f>Table1345[[#This Row],[Effort Estimate per Role (hours)]]*Table1345[[#This Row],[Hourly Rate]]</f>
        <v>960</v>
      </c>
      <c r="F122" s="4"/>
      <c r="G122" s="4"/>
    </row>
    <row r="123" spans="1:8" x14ac:dyDescent="0.25">
      <c r="A123" s="34" t="s">
        <v>71</v>
      </c>
      <c r="B123" s="32"/>
      <c r="C123" s="33"/>
      <c r="D123" s="36"/>
      <c r="E123" s="31"/>
      <c r="F123" s="31">
        <f>SUM(E120:E122)</f>
        <v>2320</v>
      </c>
      <c r="G123" s="31"/>
      <c r="H123" s="33"/>
    </row>
    <row r="124" spans="1:8" x14ac:dyDescent="0.25">
      <c r="D124" s="35"/>
      <c r="E124" s="4"/>
      <c r="F124" s="4"/>
      <c r="G124" s="4"/>
    </row>
    <row r="125" spans="1:8" x14ac:dyDescent="0.25">
      <c r="A125" s="30" t="s">
        <v>51</v>
      </c>
      <c r="B125" s="1" t="s">
        <v>7</v>
      </c>
      <c r="C125" s="2">
        <v>4</v>
      </c>
      <c r="D125" s="35">
        <v>100</v>
      </c>
      <c r="E125" s="4">
        <f>Table1345[[#This Row],[Effort Estimate per Role (hours)]]*Table1345[[#This Row],[Hourly Rate]]</f>
        <v>400</v>
      </c>
      <c r="F125" s="4"/>
      <c r="G125" s="4"/>
    </row>
    <row r="126" spans="1:8" x14ac:dyDescent="0.25">
      <c r="A126" s="3"/>
      <c r="B126" s="1" t="s">
        <v>13</v>
      </c>
      <c r="C126" s="2">
        <v>4</v>
      </c>
      <c r="D126" s="35">
        <v>60</v>
      </c>
      <c r="E126" s="4">
        <f>Table1345[[#This Row],[Effort Estimate per Role (hours)]]*Table1345[[#This Row],[Hourly Rate]]</f>
        <v>240</v>
      </c>
      <c r="F126" s="4"/>
      <c r="G126" s="4"/>
    </row>
    <row r="127" spans="1:8" x14ac:dyDescent="0.25">
      <c r="A127" s="34" t="s">
        <v>71</v>
      </c>
      <c r="B127" s="32"/>
      <c r="C127" s="33"/>
      <c r="D127" s="36"/>
      <c r="E127" s="31"/>
      <c r="F127" s="31">
        <f>SUM(E125:E126)</f>
        <v>640</v>
      </c>
      <c r="G127" s="31"/>
      <c r="H127" s="33"/>
    </row>
    <row r="128" spans="1:8" x14ac:dyDescent="0.25">
      <c r="A128" s="43" t="s">
        <v>87</v>
      </c>
      <c r="B128" s="40"/>
      <c r="C128" s="41">
        <f>SUM(C97:C126)</f>
        <v>540</v>
      </c>
      <c r="D128" s="44"/>
      <c r="E128" s="42"/>
      <c r="F128" s="42"/>
      <c r="G128" s="42"/>
      <c r="H128" s="41"/>
    </row>
    <row r="129" spans="1:8" x14ac:dyDescent="0.25">
      <c r="A129" s="7" t="s">
        <v>9</v>
      </c>
      <c r="B129" s="8"/>
      <c r="C129" s="5"/>
      <c r="D129" s="37"/>
      <c r="E129" s="6"/>
      <c r="F129" s="6"/>
      <c r="G129" s="9">
        <f>SUM(F101:F127)</f>
        <v>32720</v>
      </c>
      <c r="H129" s="12">
        <f>Table1345[[#This Row],[Cost per Phase]]/J1</f>
        <v>0.1636</v>
      </c>
    </row>
    <row r="130" spans="1:8" x14ac:dyDescent="0.25">
      <c r="A130" s="13" t="s">
        <v>18</v>
      </c>
      <c r="B130" s="14"/>
      <c r="C130" s="15"/>
      <c r="D130" s="38"/>
      <c r="E130" s="16"/>
      <c r="F130" s="16"/>
      <c r="G130" s="16"/>
      <c r="H130" s="15"/>
    </row>
    <row r="131" spans="1:8" x14ac:dyDescent="0.25">
      <c r="A131" s="30" t="s">
        <v>52</v>
      </c>
      <c r="B131" s="1" t="s">
        <v>68</v>
      </c>
      <c r="C131" s="2">
        <v>24</v>
      </c>
      <c r="D131" s="35">
        <v>60</v>
      </c>
      <c r="E131" s="4">
        <f>Table1345[[#This Row],[Effort Estimate per Role (hours)]]*Table1345[[#This Row],[Hourly Rate]]</f>
        <v>1440</v>
      </c>
      <c r="F131" s="4"/>
      <c r="G131" s="4"/>
    </row>
    <row r="132" spans="1:8" x14ac:dyDescent="0.25">
      <c r="B132" s="1" t="s">
        <v>69</v>
      </c>
      <c r="C132" s="2">
        <v>24</v>
      </c>
      <c r="D132" s="35">
        <v>60</v>
      </c>
      <c r="E132" s="4">
        <f>Table1345[[#This Row],[Effort Estimate per Role (hours)]]*Table1345[[#This Row],[Hourly Rate]]</f>
        <v>1440</v>
      </c>
      <c r="F132" s="4"/>
      <c r="G132" s="4"/>
    </row>
    <row r="133" spans="1:8" x14ac:dyDescent="0.25">
      <c r="A133" s="34" t="s">
        <v>71</v>
      </c>
      <c r="B133" s="32"/>
      <c r="C133" s="33"/>
      <c r="D133" s="36"/>
      <c r="E133" s="31"/>
      <c r="F133" s="31">
        <f>SUM(E131:E132)</f>
        <v>2880</v>
      </c>
      <c r="G133" s="31"/>
      <c r="H133" s="33"/>
    </row>
    <row r="134" spans="1:8" x14ac:dyDescent="0.25">
      <c r="D134" s="35"/>
      <c r="E134" s="4"/>
      <c r="F134" s="4"/>
      <c r="G134" s="4"/>
    </row>
    <row r="135" spans="1:8" x14ac:dyDescent="0.25">
      <c r="A135" s="30" t="s">
        <v>53</v>
      </c>
      <c r="B135" s="1" t="s">
        <v>67</v>
      </c>
      <c r="C135" s="2">
        <v>24</v>
      </c>
      <c r="D135" s="35">
        <v>60</v>
      </c>
      <c r="E135" s="4">
        <f>Table1345[[#This Row],[Effort Estimate per Role (hours)]]*Table1345[[#This Row],[Hourly Rate]]</f>
        <v>1440</v>
      </c>
      <c r="F135" s="4"/>
      <c r="G135" s="4"/>
    </row>
    <row r="136" spans="1:8" x14ac:dyDescent="0.25">
      <c r="B136" s="1" t="s">
        <v>69</v>
      </c>
      <c r="C136" s="2">
        <v>24</v>
      </c>
      <c r="D136" s="35">
        <v>60</v>
      </c>
      <c r="E136" s="4">
        <f>Table1345[[#This Row],[Effort Estimate per Role (hours)]]*Table1345[[#This Row],[Hourly Rate]]</f>
        <v>1440</v>
      </c>
      <c r="F136" s="4"/>
      <c r="G136" s="4"/>
    </row>
    <row r="137" spans="1:8" x14ac:dyDescent="0.25">
      <c r="A137" s="34" t="s">
        <v>71</v>
      </c>
      <c r="B137" s="32"/>
      <c r="C137" s="33"/>
      <c r="D137" s="36"/>
      <c r="E137" s="31"/>
      <c r="F137" s="31">
        <f>SUM(E135:E136)</f>
        <v>2880</v>
      </c>
      <c r="G137" s="31"/>
      <c r="H137" s="33"/>
    </row>
    <row r="138" spans="1:8" x14ac:dyDescent="0.25">
      <c r="B138" s="1" t="s">
        <v>7</v>
      </c>
      <c r="C138" s="2">
        <v>8</v>
      </c>
      <c r="D138" s="35">
        <v>100</v>
      </c>
      <c r="E138" s="4">
        <f>Table1345[[#This Row],[Hourly Rate]]*Table1345[[#This Row],[Effort Estimate per Role (hours)]]</f>
        <v>800</v>
      </c>
      <c r="F138" s="4"/>
      <c r="G138" s="4"/>
    </row>
    <row r="139" spans="1:8" x14ac:dyDescent="0.25">
      <c r="A139" s="30" t="s">
        <v>54</v>
      </c>
      <c r="B139" s="1" t="s">
        <v>13</v>
      </c>
      <c r="C139" s="2">
        <v>8</v>
      </c>
      <c r="D139" s="35">
        <v>60</v>
      </c>
      <c r="E139" s="4">
        <f>Table1345[[#This Row],[Effort Estimate per Role (hours)]]*Table1345[[#This Row],[Hourly Rate]]</f>
        <v>480</v>
      </c>
      <c r="F139" s="4"/>
      <c r="G139" s="4"/>
    </row>
    <row r="140" spans="1:8" x14ac:dyDescent="0.25">
      <c r="B140" s="1" t="s">
        <v>65</v>
      </c>
      <c r="C140" s="2">
        <v>32</v>
      </c>
      <c r="D140" s="35">
        <v>60</v>
      </c>
      <c r="E140" s="4">
        <f>Table1345[[#This Row],[Effort Estimate per Role (hours)]]*Table1345[[#This Row],[Hourly Rate]]</f>
        <v>1920</v>
      </c>
      <c r="F140" s="4"/>
      <c r="G140" s="4"/>
    </row>
    <row r="141" spans="1:8" x14ac:dyDescent="0.25">
      <c r="B141" s="1" t="s">
        <v>86</v>
      </c>
      <c r="C141" s="2">
        <v>8</v>
      </c>
      <c r="D141" s="35">
        <v>60</v>
      </c>
      <c r="E141" s="4">
        <f>Table1345[[#This Row],[Effort Estimate per Role (hours)]]*Table1345[[#This Row],[Hourly Rate]]</f>
        <v>480</v>
      </c>
      <c r="F141" s="4"/>
      <c r="G141" s="4"/>
    </row>
    <row r="142" spans="1:8" x14ac:dyDescent="0.25">
      <c r="A142" s="34" t="s">
        <v>71</v>
      </c>
      <c r="B142" s="32"/>
      <c r="C142" s="33"/>
      <c r="D142" s="36"/>
      <c r="E142" s="31"/>
      <c r="F142" s="31">
        <f>SUM(E138:E141)</f>
        <v>3680</v>
      </c>
      <c r="G142" s="31"/>
      <c r="H142" s="33"/>
    </row>
    <row r="143" spans="1:8" x14ac:dyDescent="0.25">
      <c r="B143" s="1" t="s">
        <v>7</v>
      </c>
      <c r="C143" s="2">
        <v>8</v>
      </c>
      <c r="D143" s="35">
        <v>100</v>
      </c>
      <c r="E143" s="4">
        <f>Table1345[[#This Row],[Hourly Rate]]*Table1345[[#This Row],[Effort Estimate per Role (hours)]]</f>
        <v>800</v>
      </c>
      <c r="F143" s="4"/>
      <c r="G143" s="4"/>
    </row>
    <row r="144" spans="1:8" x14ac:dyDescent="0.25">
      <c r="A144" s="30" t="s">
        <v>55</v>
      </c>
      <c r="B144" s="1" t="s">
        <v>68</v>
      </c>
      <c r="C144" s="2">
        <v>8</v>
      </c>
      <c r="D144" s="35">
        <v>60</v>
      </c>
      <c r="E144" s="4">
        <f>Table1345[[#This Row],[Effort Estimate per Role (hours)]]*Table1345[[#This Row],[Hourly Rate]]</f>
        <v>480</v>
      </c>
      <c r="F144" s="4"/>
      <c r="G144" s="4"/>
    </row>
    <row r="145" spans="1:8" x14ac:dyDescent="0.25">
      <c r="B145" s="1" t="s">
        <v>69</v>
      </c>
      <c r="C145" s="2">
        <v>20</v>
      </c>
      <c r="D145" s="35">
        <v>60</v>
      </c>
      <c r="E145" s="4">
        <f>Table1345[[#This Row],[Effort Estimate per Role (hours)]]*Table1345[[#This Row],[Hourly Rate]]</f>
        <v>1200</v>
      </c>
      <c r="F145" s="4"/>
      <c r="G145" s="4"/>
    </row>
    <row r="146" spans="1:8" x14ac:dyDescent="0.25">
      <c r="A146" s="34" t="s">
        <v>71</v>
      </c>
      <c r="B146" s="32"/>
      <c r="C146" s="33"/>
      <c r="D146" s="36"/>
      <c r="E146" s="31"/>
      <c r="F146" s="31">
        <f>SUM(E143:E145)</f>
        <v>2480</v>
      </c>
      <c r="G146" s="31"/>
      <c r="H146" s="33"/>
    </row>
    <row r="147" spans="1:8" x14ac:dyDescent="0.25">
      <c r="D147" s="35"/>
      <c r="E147" s="4"/>
      <c r="F147" s="4"/>
      <c r="G147" s="4"/>
    </row>
    <row r="148" spans="1:8" x14ac:dyDescent="0.25">
      <c r="A148" s="30" t="s">
        <v>56</v>
      </c>
      <c r="B148" s="1" t="s">
        <v>69</v>
      </c>
      <c r="C148" s="2">
        <v>30</v>
      </c>
      <c r="D148" s="35">
        <v>60</v>
      </c>
      <c r="E148" s="4">
        <f>Table1345[[#This Row],[Effort Estimate per Role (hours)]]*Table1345[[#This Row],[Hourly Rate]]</f>
        <v>1800</v>
      </c>
      <c r="F148" s="4"/>
      <c r="G148" s="4"/>
    </row>
    <row r="149" spans="1:8" x14ac:dyDescent="0.25">
      <c r="B149" s="1" t="s">
        <v>67</v>
      </c>
      <c r="C149" s="2">
        <v>30</v>
      </c>
      <c r="D149" s="35">
        <v>60</v>
      </c>
      <c r="E149" s="4">
        <f>Table1345[[#This Row],[Effort Estimate per Role (hours)]]*Table1345[[#This Row],[Hourly Rate]]</f>
        <v>1800</v>
      </c>
      <c r="F149" s="4"/>
      <c r="G149" s="4"/>
    </row>
    <row r="150" spans="1:8" x14ac:dyDescent="0.25">
      <c r="A150" s="34" t="s">
        <v>71</v>
      </c>
      <c r="B150" s="32"/>
      <c r="C150" s="33"/>
      <c r="D150" s="36"/>
      <c r="E150" s="31"/>
      <c r="F150" s="31">
        <f>SUM(E148:E149)</f>
        <v>3600</v>
      </c>
      <c r="G150" s="31"/>
      <c r="H150" s="33"/>
    </row>
    <row r="151" spans="1:8" x14ac:dyDescent="0.25">
      <c r="B151" s="1" t="s">
        <v>7</v>
      </c>
      <c r="C151" s="2">
        <v>4</v>
      </c>
      <c r="D151" s="35">
        <v>100</v>
      </c>
      <c r="E151" s="4">
        <f>Table1345[[#This Row],[Hourly Rate]]*Table1345[[#This Row],[Effort Estimate per Role (hours)]]</f>
        <v>400</v>
      </c>
      <c r="F151" s="4"/>
      <c r="G151" s="4"/>
    </row>
    <row r="152" spans="1:8" x14ac:dyDescent="0.25">
      <c r="B152" s="1" t="s">
        <v>67</v>
      </c>
      <c r="C152" s="2">
        <v>4</v>
      </c>
      <c r="D152" s="35">
        <v>60</v>
      </c>
      <c r="E152" s="4">
        <f>Table1345[[#This Row],[Effort Estimate per Role (hours)]]*Table1345[[#This Row],[Hourly Rate]]</f>
        <v>240</v>
      </c>
      <c r="F152" s="4"/>
      <c r="G152" s="4"/>
    </row>
    <row r="153" spans="1:8" x14ac:dyDescent="0.25">
      <c r="B153" s="1" t="s">
        <v>68</v>
      </c>
      <c r="C153" s="2">
        <v>4</v>
      </c>
      <c r="D153" s="35">
        <v>60</v>
      </c>
      <c r="E153" s="4">
        <f>Table1345[[#This Row],[Effort Estimate per Role (hours)]]*Table1345[[#This Row],[Hourly Rate]]</f>
        <v>240</v>
      </c>
      <c r="F153" s="4"/>
      <c r="G153" s="4"/>
    </row>
    <row r="154" spans="1:8" x14ac:dyDescent="0.25">
      <c r="A154" s="30" t="s">
        <v>57</v>
      </c>
      <c r="B154" s="1" t="s">
        <v>69</v>
      </c>
      <c r="C154" s="2">
        <v>4</v>
      </c>
      <c r="D154" s="35">
        <v>100</v>
      </c>
      <c r="E154" s="4">
        <f>Table1345[[#This Row],[Effort Estimate per Role (hours)]]*Table1345[[#This Row],[Hourly Rate]]</f>
        <v>400</v>
      </c>
      <c r="F154" s="4"/>
      <c r="G154" s="4"/>
    </row>
    <row r="155" spans="1:8" x14ac:dyDescent="0.25">
      <c r="B155" s="1" t="s">
        <v>13</v>
      </c>
      <c r="C155" s="2">
        <v>4</v>
      </c>
      <c r="D155" s="35">
        <v>60</v>
      </c>
      <c r="E155" s="4">
        <f>Table1345[[#This Row],[Effort Estimate per Role (hours)]]*Table1345[[#This Row],[Hourly Rate]]</f>
        <v>240</v>
      </c>
      <c r="F155" s="4"/>
      <c r="G155" s="4"/>
    </row>
    <row r="156" spans="1:8" x14ac:dyDescent="0.25">
      <c r="A156" s="34" t="s">
        <v>71</v>
      </c>
      <c r="B156" s="32"/>
      <c r="C156" s="33"/>
      <c r="D156" s="36"/>
      <c r="E156" s="31"/>
      <c r="F156" s="31">
        <f>SUM(E151:E155)</f>
        <v>1520</v>
      </c>
      <c r="G156" s="31"/>
      <c r="H156" s="33"/>
    </row>
    <row r="157" spans="1:8" x14ac:dyDescent="0.25">
      <c r="A157" s="30" t="s">
        <v>58</v>
      </c>
      <c r="B157" s="1" t="s">
        <v>7</v>
      </c>
      <c r="C157" s="2">
        <v>4</v>
      </c>
      <c r="D157" s="35">
        <v>100</v>
      </c>
      <c r="E157" s="4">
        <f>Table1345[[#This Row],[Effort Estimate per Role (hours)]]*Table1345[[#This Row],[Hourly Rate]]</f>
        <v>400</v>
      </c>
      <c r="F157" s="4"/>
      <c r="G157" s="4"/>
    </row>
    <row r="158" spans="1:8" x14ac:dyDescent="0.25">
      <c r="B158" s="1" t="s">
        <v>67</v>
      </c>
      <c r="C158" s="2">
        <v>4</v>
      </c>
      <c r="D158" s="35">
        <v>60</v>
      </c>
      <c r="E158" s="4">
        <f>Table1345[[#This Row],[Effort Estimate per Role (hours)]]*Table1345[[#This Row],[Hourly Rate]]</f>
        <v>240</v>
      </c>
      <c r="F158" s="4"/>
      <c r="G158" s="4"/>
    </row>
    <row r="159" spans="1:8" x14ac:dyDescent="0.25">
      <c r="B159" s="1" t="s">
        <v>68</v>
      </c>
      <c r="C159" s="2">
        <v>4</v>
      </c>
      <c r="D159" s="35">
        <v>60</v>
      </c>
      <c r="E159" s="4">
        <f>Table1345[[#This Row],[Effort Estimate per Role (hours)]]*Table1345[[#This Row],[Hourly Rate]]</f>
        <v>240</v>
      </c>
      <c r="F159" s="4"/>
      <c r="G159" s="4"/>
    </row>
    <row r="160" spans="1:8" x14ac:dyDescent="0.25">
      <c r="B160" s="1" t="s">
        <v>69</v>
      </c>
      <c r="C160" s="2">
        <v>4</v>
      </c>
      <c r="D160" s="35">
        <v>60</v>
      </c>
      <c r="E160" s="4">
        <f>Table1345[[#This Row],[Effort Estimate per Role (hours)]]*Table1345[[#This Row],[Hourly Rate]]</f>
        <v>240</v>
      </c>
      <c r="F160" s="4"/>
      <c r="G160" s="4"/>
    </row>
    <row r="161" spans="1:8" x14ac:dyDescent="0.25">
      <c r="B161" s="1" t="s">
        <v>13</v>
      </c>
      <c r="C161" s="2">
        <v>4</v>
      </c>
      <c r="D161" s="35">
        <v>60</v>
      </c>
      <c r="E161" s="4">
        <f>Table1345[[#This Row],[Effort Estimate per Role (hours)]]*Table1345[[#This Row],[Hourly Rate]]</f>
        <v>240</v>
      </c>
      <c r="F161" s="4"/>
      <c r="G161" s="4"/>
    </row>
    <row r="162" spans="1:8" x14ac:dyDescent="0.25">
      <c r="A162" s="34" t="s">
        <v>71</v>
      </c>
      <c r="B162" s="32"/>
      <c r="C162" s="33"/>
      <c r="D162" s="36"/>
      <c r="E162" s="31"/>
      <c r="F162" s="31">
        <f>SUM(E157:E161)</f>
        <v>1360</v>
      </c>
      <c r="G162" s="31"/>
      <c r="H162" s="33"/>
    </row>
    <row r="163" spans="1:8" x14ac:dyDescent="0.25">
      <c r="D163" s="35"/>
      <c r="E163" s="4"/>
      <c r="F163" s="4"/>
      <c r="G163" s="4"/>
    </row>
    <row r="164" spans="1:8" x14ac:dyDescent="0.25">
      <c r="A164" s="30" t="s">
        <v>70</v>
      </c>
      <c r="B164" s="1" t="s">
        <v>69</v>
      </c>
      <c r="C164" s="2">
        <v>160</v>
      </c>
      <c r="D164" s="35">
        <v>60</v>
      </c>
      <c r="E164" s="4">
        <f>Table1345[[#This Row],[Effort Estimate per Role (hours)]]*Table1345[[#This Row],[Hourly Rate]]</f>
        <v>9600</v>
      </c>
      <c r="F164" s="4"/>
      <c r="G164" s="4"/>
    </row>
    <row r="165" spans="1:8" x14ac:dyDescent="0.25">
      <c r="B165" s="1" t="s">
        <v>67</v>
      </c>
      <c r="C165" s="2">
        <v>160</v>
      </c>
      <c r="D165" s="35">
        <v>60</v>
      </c>
      <c r="E165" s="4">
        <f>Table1345[[#This Row],[Effort Estimate per Role (hours)]]*Table1345[[#This Row],[Hourly Rate]]</f>
        <v>9600</v>
      </c>
      <c r="F165" s="4"/>
      <c r="G165" s="4"/>
    </row>
    <row r="166" spans="1:8" x14ac:dyDescent="0.25">
      <c r="A166" s="34" t="s">
        <v>71</v>
      </c>
      <c r="B166" s="32"/>
      <c r="C166" s="33"/>
      <c r="D166" s="36"/>
      <c r="E166" s="31"/>
      <c r="F166" s="31">
        <f>SUM(E164:E165)</f>
        <v>19200</v>
      </c>
      <c r="G166" s="31"/>
      <c r="H166" s="33"/>
    </row>
    <row r="167" spans="1:8" x14ac:dyDescent="0.25">
      <c r="D167" s="35"/>
      <c r="E167" s="4"/>
      <c r="F167" s="4"/>
      <c r="G167" s="4"/>
    </row>
    <row r="168" spans="1:8" x14ac:dyDescent="0.25">
      <c r="A168" s="30" t="s">
        <v>59</v>
      </c>
      <c r="B168" s="1" t="s">
        <v>7</v>
      </c>
      <c r="C168" s="2">
        <v>16</v>
      </c>
      <c r="D168" s="35">
        <v>100</v>
      </c>
      <c r="E168" s="4">
        <f>Table1345[[#This Row],[Effort Estimate per Role (hours)]]*Table1345[[#This Row],[Hourly Rate]]</f>
        <v>1600</v>
      </c>
      <c r="F168" s="4"/>
      <c r="G168" s="4"/>
    </row>
    <row r="169" spans="1:8" x14ac:dyDescent="0.25">
      <c r="B169" s="1" t="s">
        <v>65</v>
      </c>
      <c r="C169" s="2">
        <v>40</v>
      </c>
      <c r="D169" s="35">
        <v>60</v>
      </c>
      <c r="E169" s="4">
        <f>Table1345[[#This Row],[Effort Estimate per Role (hours)]]*Table1345[[#This Row],[Hourly Rate]]</f>
        <v>2400</v>
      </c>
      <c r="F169" s="4"/>
      <c r="G169" s="4"/>
    </row>
    <row r="170" spans="1:8" x14ac:dyDescent="0.25">
      <c r="A170" s="34" t="s">
        <v>71</v>
      </c>
      <c r="B170" s="32"/>
      <c r="C170" s="33"/>
      <c r="D170" s="36"/>
      <c r="E170" s="31"/>
      <c r="F170" s="31">
        <f>SUM(E168:E169)</f>
        <v>4000</v>
      </c>
      <c r="G170" s="31"/>
      <c r="H170" s="33"/>
    </row>
    <row r="171" spans="1:8" x14ac:dyDescent="0.25">
      <c r="A171" s="30" t="s">
        <v>60</v>
      </c>
      <c r="B171" s="1" t="s">
        <v>7</v>
      </c>
      <c r="C171" s="2">
        <v>8</v>
      </c>
      <c r="D171" s="35">
        <v>100</v>
      </c>
      <c r="E171" s="4">
        <f>Table1345[[#This Row],[Effort Estimate per Role (hours)]]*Table1345[[#This Row],[Hourly Rate]]</f>
        <v>800</v>
      </c>
      <c r="F171" s="4"/>
      <c r="G171" s="4"/>
    </row>
    <row r="172" spans="1:8" x14ac:dyDescent="0.25">
      <c r="B172" s="1" t="s">
        <v>13</v>
      </c>
      <c r="C172" s="2">
        <v>8</v>
      </c>
      <c r="D172" s="35">
        <v>60</v>
      </c>
      <c r="E172" s="4">
        <f>Table1345[[#This Row],[Effort Estimate per Role (hours)]]*Table1345[[#This Row],[Hourly Rate]]</f>
        <v>480</v>
      </c>
      <c r="F172" s="4"/>
      <c r="G172" s="4"/>
    </row>
    <row r="173" spans="1:8" x14ac:dyDescent="0.25">
      <c r="B173" s="1" t="s">
        <v>65</v>
      </c>
      <c r="C173" s="2">
        <v>40</v>
      </c>
      <c r="D173" s="35">
        <v>60</v>
      </c>
      <c r="E173" s="4">
        <f>Table1345[[#This Row],[Effort Estimate per Role (hours)]]*Table1345[[#This Row],[Hourly Rate]]</f>
        <v>2400</v>
      </c>
      <c r="F173" s="4"/>
      <c r="G173" s="4"/>
    </row>
    <row r="174" spans="1:8" x14ac:dyDescent="0.25">
      <c r="A174" s="34" t="s">
        <v>71</v>
      </c>
      <c r="B174" s="32"/>
      <c r="C174" s="33"/>
      <c r="D174" s="36"/>
      <c r="E174" s="31"/>
      <c r="F174" s="31">
        <f>SUM(E171:E173)</f>
        <v>3680</v>
      </c>
      <c r="G174" s="31"/>
      <c r="H174" s="33"/>
    </row>
    <row r="175" spans="1:8" x14ac:dyDescent="0.25">
      <c r="A175" s="30" t="s">
        <v>61</v>
      </c>
      <c r="B175" s="1" t="s">
        <v>7</v>
      </c>
      <c r="C175" s="2">
        <v>8</v>
      </c>
      <c r="D175" s="35">
        <v>100</v>
      </c>
      <c r="E175" s="4">
        <f>Table1345[[#This Row],[Effort Estimate per Role (hours)]]*Table1345[[#This Row],[Hourly Rate]]</f>
        <v>800</v>
      </c>
      <c r="F175" s="4"/>
      <c r="G175" s="4"/>
    </row>
    <row r="176" spans="1:8" x14ac:dyDescent="0.25">
      <c r="B176" s="1" t="s">
        <v>66</v>
      </c>
      <c r="C176" s="2">
        <v>8</v>
      </c>
      <c r="D176" s="35">
        <v>60</v>
      </c>
      <c r="E176" s="4">
        <f>Table1345[[#This Row],[Effort Estimate per Role (hours)]]*Table1345[[#This Row],[Hourly Rate]]</f>
        <v>480</v>
      </c>
      <c r="F176" s="25"/>
      <c r="G176" s="4"/>
    </row>
    <row r="177" spans="1:100" x14ac:dyDescent="0.25">
      <c r="A177" s="34" t="s">
        <v>71</v>
      </c>
      <c r="B177" s="32"/>
      <c r="C177" s="33"/>
      <c r="D177" s="36"/>
      <c r="E177" s="31"/>
      <c r="F177" s="31">
        <f>SUM(E175:E176)</f>
        <v>1280</v>
      </c>
      <c r="G177" s="31"/>
      <c r="H177" s="33"/>
    </row>
    <row r="178" spans="1:100" x14ac:dyDescent="0.25">
      <c r="A178" s="30" t="s">
        <v>62</v>
      </c>
      <c r="B178" s="1" t="s">
        <v>7</v>
      </c>
      <c r="C178" s="2">
        <v>8</v>
      </c>
      <c r="D178" s="35">
        <v>100</v>
      </c>
      <c r="E178" s="4">
        <f>Table1345[[#This Row],[Effort Estimate per Role (hours)]]*Table1345[[#This Row],[Hourly Rate]]</f>
        <v>800</v>
      </c>
      <c r="F178" s="25"/>
      <c r="G178" s="4"/>
    </row>
    <row r="179" spans="1:100" x14ac:dyDescent="0.25">
      <c r="B179" s="1" t="s">
        <v>13</v>
      </c>
      <c r="C179" s="2">
        <v>8</v>
      </c>
      <c r="D179" s="35">
        <v>60</v>
      </c>
      <c r="E179" s="4">
        <f>Table1345[[#This Row],[Effort Estimate per Role (hours)]]*Table1345[[#This Row],[Hourly Rate]]</f>
        <v>480</v>
      </c>
      <c r="F179" s="4"/>
      <c r="G179" s="4"/>
    </row>
    <row r="180" spans="1:100" x14ac:dyDescent="0.25">
      <c r="A180" s="34" t="s">
        <v>71</v>
      </c>
      <c r="B180" s="32"/>
      <c r="C180" s="33"/>
      <c r="D180" s="36"/>
      <c r="E180" s="31"/>
      <c r="F180" s="31">
        <f>SUM(E178:E179)</f>
        <v>1280</v>
      </c>
      <c r="G180" s="31"/>
      <c r="H180" s="33"/>
    </row>
    <row r="181" spans="1:100" x14ac:dyDescent="0.25">
      <c r="A181" s="30" t="s">
        <v>63</v>
      </c>
      <c r="B181" s="1" t="s">
        <v>7</v>
      </c>
      <c r="C181" s="2">
        <v>8</v>
      </c>
      <c r="D181" s="35">
        <v>100</v>
      </c>
      <c r="E181" s="4">
        <f>Table1345[[#This Row],[Effort Estimate per Role (hours)]]*Table1345[[#This Row],[Hourly Rate]]</f>
        <v>800</v>
      </c>
      <c r="F181" s="4"/>
      <c r="G181" s="4"/>
    </row>
    <row r="182" spans="1:100" x14ac:dyDescent="0.25">
      <c r="B182" s="1" t="s">
        <v>13</v>
      </c>
      <c r="C182" s="2">
        <v>8</v>
      </c>
      <c r="D182" s="35">
        <v>60</v>
      </c>
      <c r="E182" s="4">
        <f>Table1345[[#This Row],[Effort Estimate per Role (hours)]]*Table1345[[#This Row],[Hourly Rate]]</f>
        <v>480</v>
      </c>
      <c r="F182" s="4"/>
      <c r="G182" s="4"/>
    </row>
    <row r="183" spans="1:100" s="32" customFormat="1" x14ac:dyDescent="0.25">
      <c r="A183" s="34" t="s">
        <v>71</v>
      </c>
      <c r="C183" s="33"/>
      <c r="D183" s="36"/>
      <c r="E183" s="31"/>
      <c r="F183" s="31">
        <f>SUM(E181:E182)</f>
        <v>1280</v>
      </c>
      <c r="G183" s="31"/>
      <c r="H183" s="3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</row>
    <row r="184" spans="1:100" x14ac:dyDescent="0.25">
      <c r="A184" s="30" t="s">
        <v>64</v>
      </c>
      <c r="B184" s="1" t="s">
        <v>7</v>
      </c>
      <c r="C184" s="2">
        <v>4</v>
      </c>
      <c r="D184" s="35">
        <v>100</v>
      </c>
      <c r="E184" s="4">
        <f>Table1345[[#This Row],[Effort Estimate per Role (hours)]]*Table1345[[#This Row],[Hourly Rate]]</f>
        <v>400</v>
      </c>
      <c r="F184" s="31">
        <f>Table1345[[#This Row],[Cost per Role]]</f>
        <v>400</v>
      </c>
      <c r="G184" s="4"/>
    </row>
    <row r="185" spans="1:100" x14ac:dyDescent="0.25">
      <c r="A185" s="43" t="s">
        <v>87</v>
      </c>
      <c r="B185" s="40"/>
      <c r="C185" s="41">
        <f>SUM(C131:C184)</f>
        <v>772</v>
      </c>
      <c r="D185" s="41"/>
      <c r="E185" s="42"/>
      <c r="F185" s="42"/>
      <c r="G185" s="42"/>
      <c r="H185" s="41"/>
    </row>
    <row r="186" spans="1:100" x14ac:dyDescent="0.25">
      <c r="A186" s="3"/>
      <c r="E186" s="4"/>
      <c r="F186" s="4"/>
      <c r="G186" s="4"/>
    </row>
    <row r="187" spans="1:100" x14ac:dyDescent="0.25">
      <c r="A187" s="7" t="s">
        <v>9</v>
      </c>
      <c r="B187" s="8"/>
      <c r="C187" s="5"/>
      <c r="D187" s="6"/>
      <c r="E187" s="6"/>
      <c r="F187" s="6"/>
      <c r="G187" s="9">
        <f>SUM(F133:F184)</f>
        <v>49520</v>
      </c>
      <c r="H187" s="12">
        <f>Table1345[[#This Row],[Cost per Phase]]/J1</f>
        <v>0.24759999999999999</v>
      </c>
    </row>
    <row r="188" spans="1:100" x14ac:dyDescent="0.25">
      <c r="A188" s="17" t="s">
        <v>10</v>
      </c>
      <c r="B188" s="14"/>
      <c r="C188" s="15"/>
      <c r="D188" s="16"/>
      <c r="E188" s="16"/>
      <c r="F188" s="16"/>
      <c r="G188" s="22">
        <v>20000</v>
      </c>
      <c r="H188" s="23">
        <f>Table1345[[#This Row],[Cost per Phase]]/J1</f>
        <v>0.1</v>
      </c>
    </row>
    <row r="189" spans="1:100" x14ac:dyDescent="0.25">
      <c r="A189" s="18" t="s">
        <v>12</v>
      </c>
      <c r="B189" s="19"/>
      <c r="C189" s="20"/>
      <c r="D189" s="21"/>
      <c r="E189" s="21"/>
      <c r="F189" s="21"/>
      <c r="G189" s="24">
        <f>SUM(G22:G188)</f>
        <v>252080</v>
      </c>
      <c r="H189" s="20"/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CostEstimate_Template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Gongati</dc:creator>
  <cp:lastModifiedBy>Hoang, Bach K</cp:lastModifiedBy>
  <dcterms:created xsi:type="dcterms:W3CDTF">2024-03-21T02:48:02Z</dcterms:created>
  <dcterms:modified xsi:type="dcterms:W3CDTF">2025-11-12T13:07:41Z</dcterms:modified>
</cp:coreProperties>
</file>